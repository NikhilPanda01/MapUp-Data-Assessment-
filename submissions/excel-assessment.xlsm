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ames\ASSESMENTS\MapUp-Data-Assessment-F\submissions\"/>
    </mc:Choice>
  </mc:AlternateContent>
  <xr:revisionPtr revIDLastSave="0" documentId="13_ncr:1_{7C5892EB-3FC0-430D-817A-E9A22D4A503A}" xr6:coauthVersionLast="47" xr6:coauthVersionMax="47" xr10:uidLastSave="{00000000-0000-0000-0000-000000000000}"/>
  <bookViews>
    <workbookView xWindow="-108" yWindow="-108" windowWidth="23256" windowHeight="125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8" i="18"/>
  <c r="D28" i="18"/>
  <c r="E28" i="18"/>
  <c r="F28" i="18"/>
  <c r="C29" i="18"/>
  <c r="D29" i="18"/>
  <c r="E29" i="18"/>
  <c r="F29" i="18"/>
  <c r="C30" i="18"/>
  <c r="D30" i="18"/>
  <c r="E30" i="18"/>
  <c r="F30" i="18"/>
  <c r="B30" i="18"/>
  <c r="B29" i="18"/>
  <c r="B28" i="18"/>
  <c r="I10" i="18"/>
  <c r="H22" i="20"/>
  <c r="B6" i="19" a="1"/>
  <c r="B6" i="19" s="1"/>
  <c r="C22" i="19" a="1"/>
  <c r="C22" i="19" s="1"/>
  <c r="C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<sst xmlns="http://schemas.openxmlformats.org/spreadsheetml/2006/main" count="548" uniqueCount="205">
  <si>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</si>
  <si>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</si>
  <si>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</si>
  <si>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</si>
  <si>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</si>
  <si>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</si>
  <si>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</si>
  <si>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</si>
  <si>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</si>
  <si>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</si>
  <si>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</si>
  <si>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</si>
  <si>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</si>
  <si>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</si>
  <si>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</si>
  <si>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</si>
  <si>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</si>
  <si>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</si>
  <si>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</si>
  <si>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</si>
  <si>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</si>
  <si>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</si>
  <si>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</si>
  <si>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</si>
  <si>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</si>
  <si>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</si>
  <si>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</si>
  <si>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</si>
  <si>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</si>
  <si>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</si>
  <si>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</si>
  <si>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</si>
  <si>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</si>
  <si>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</si>
  <si>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</si>
  <si>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</si>
  <si>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</si>
  <si>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</si>
  <si>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</si>
  <si>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</si>
  <si>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</si>
  <si>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</si>
  <si>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</si>
  <si>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</si>
  <si>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</si>
  <si>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</si>
  <si>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</si>
  <si>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</si>
  <si>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</si>
  <si>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</si>
  <si>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</si>
  <si>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</si>
  <si>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</si>
  <si>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</si>
  <si>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</si>
  <si>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</si>
  <si>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</si>
  <si>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</si>
  <si>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</si>
  <si>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</si>
  <si>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</si>
  <si>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</si>
  <si>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</si>
  <si>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</si>
  <si>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</si>
  <si>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</si>
  <si>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</si>
  <si>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</si>
  <si>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</si>
  <si>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</si>
  <si>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</si>
  <si>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</si>
  <si>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</si>
  <si>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</si>
  <si>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</si>
  <si>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</si>
  <si>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</si>
  <si>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</si>
  <si>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</si>
  <si>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</si>
  <si>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</si>
  <si>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</si>
  <si>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</si>
  <si>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</si>
  <si>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</si>
  <si>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</si>
  <si>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</si>
  <si>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</si>
  <si>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</si>
  <si>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</si>
  <si>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</si>
  <si>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</si>
  <si>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</si>
  <si>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</si>
  <si>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</si>
  <si>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</si>
  <si>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</si>
  <si>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</si>
  <si>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</si>
  <si>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</si>
  <si>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</si>
  <si>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</si>
  <si>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</si>
  <si>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</si>
  <si>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</si>
  <si>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</si>
  <si>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</si>
  <si>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</si>
  <si>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</si>
  <si>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</si>
  <si>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</si>
  <si>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</si>
  <si>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</si>
  <si>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</si>
  <si>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</si>
  <si>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</si>
  <si>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</si>
  <si>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</si>
  <si>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</si>
  <si>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</si>
  <si>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</si>
  <si>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</si>
  <si>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</si>
  <si>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</si>
  <si>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</si>
  <si>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</si>
  <si>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</si>
  <si>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</si>
  <si>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</si>
  <si>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</si>
  <si>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</si>
  <si>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</si>
  <si>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</si>
  <si>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</si>
  <si>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</si>
  <si>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</si>
  <si>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</si>
  <si>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</si>
  <si>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</si>
  <si>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</si>
  <si>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</si>
  <si>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</si>
  <si>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</si>
  <si>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</si>
  <si>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</si>
  <si>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</si>
  <si>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</si>
  <si>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</si>
  <si>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</si>
  <si>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</si>
  <si>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</si>
  <si>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</si>
  <si>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</si>
  <si>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</si>
  <si>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</si>
  <si>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</si>
  <si>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</si>
  <si>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</si>
  <si>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</si>
  <si>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</si>
  <si>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</si>
  <si>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</si>
  <si>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</si>
  <si>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</si>
  <si>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</si>
  <si>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</si>
  <si>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</si>
  <si>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</si>
  <si>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</si>
  <si>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</si>
  <si>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</si>
  <si>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</si>
  <si>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</si>
  <si>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</si>
  <si>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</si>
  <si>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</si>
  <si>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This above formula checks if each value in the range C12:C21 is a number. If it is, it includes the original value in the sum; otherwise, it includes '20'.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</si>
  <si>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</si>
  <si>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</si>
  <si>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</si>
  <si>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</si>
  <si>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</si>
  <si>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</si>
  <si>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</si>
  <si>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</si>
  <si>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</si>
  <si>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</si>
  <si>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</si>
  <si>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</si>
  <si>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</si>
  <si>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</si>
  <si>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</si>
  <si>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</si>
  <si>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</si>
  <si>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</si>
  <si>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</si>
  <si>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</si>
  <si>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</si>
  <si>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</si>
  <si>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</si>
  <si>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</si>
  <si>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INDEX(Table_A!$B$2:$J$10, MATCH(A2, Table_A!$A$2:$A$10, 0), MATCH(B2, Table_A!$A$1:$I$1, 0))</t>
  </si>
  <si>
    <r>
      <t>Table_A_range</t>
    </r>
    <r>
      <rPr>
        <b/>
        <sz val="10"/>
        <color theme="1"/>
        <rFont val="Segoe UI"/>
        <family val="2"/>
      </rPr>
      <t>: The range of values in Table_A.</t>
    </r>
  </si>
  <si>
    <r>
      <t>Table_A_ID_column</t>
    </r>
    <r>
      <rPr>
        <b/>
        <sz val="10"/>
        <color theme="1"/>
        <rFont val="Segoe UI"/>
        <family val="2"/>
      </rPr>
      <t>: The column in Table_A where the IDs match with Table_C's "name_2" (e.g., the first column in Table_A).</t>
    </r>
  </si>
  <si>
    <r>
      <t>Table_A_ID_row</t>
    </r>
    <r>
      <rPr>
        <b/>
        <sz val="10"/>
        <color theme="1"/>
        <rFont val="Segoe UI"/>
        <family val="2"/>
      </rPr>
      <t>: The row in Table_A where the IDs match with Table_C's "name_2" (e.g., the first row in Table_A).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</si>
</sst>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4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name val="Segoe UI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.75"/>
      <color theme="1"/>
      <name val="Courier New"/>
      <family val="3"/>
    </font>
    <font>
      <b/>
      <sz val="10"/>
      <color theme="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1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</cellStyleXfs>
  <cellXfs count="69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8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0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8" xfId="0" applyFont="1" applyBorder="1"/>
    <xf numFmtId="0" fontId="9" fillId="0" borderId="6" xfId="0" applyFont="1" applyBorder="1"/>
    <xf numFmtId="0" fontId="9" fillId="0" borderId="8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165" fontId="4" fillId="0" borderId="0" xfId="0" applyNumberFormat="1" applyFont="1"/>
    <xf numFmtId="0" fontId="19" fillId="0" borderId="0" xfId="0" applyFont="1"/>
    <xf numFmtId="0" fontId="20" fillId="0" borderId="0" xfId="0" applyFont="1"/>
    <xf numFmtId="0" fontId="10" fillId="0" borderId="10" xfId="0" applyFont="1" applyBorder="1"/>
    <xf numFmtId="0" fontId="10" fillId="0" borderId="5" xfId="0" applyFont="1" applyBorder="1"/>
    <xf numFmtId="0" fontId="10" fillId="0" borderId="7" xfId="0" applyFont="1" applyBorder="1"/>
    <xf numFmtId="0" fontId="10" fillId="0" borderId="4" xfId="0" applyFont="1" applyBorder="1"/>
    <xf numFmtId="0" fontId="10" fillId="0" borderId="12" xfId="0" applyFont="1" applyBorder="1"/>
    <xf numFmtId="0" fontId="9" fillId="0" borderId="13" xfId="0" applyFont="1" applyBorder="1"/>
    <xf numFmtId="0" fontId="9" fillId="0" borderId="14" xfId="0" applyFont="1" applyBorder="1"/>
    <xf numFmtId="0" fontId="8" fillId="0" borderId="5" xfId="0" applyFont="1" applyBorder="1"/>
    <xf numFmtId="0" fontId="8" fillId="0" borderId="4" xfId="0" applyFont="1" applyBorder="1"/>
    <xf numFmtId="0" fontId="4" fillId="0" borderId="15" xfId="0" applyFont="1" applyBorder="1"/>
    <xf numFmtId="0" fontId="1" fillId="6" borderId="11" xfId="0" applyFont="1" applyFill="1" applyBorder="1"/>
    <xf numFmtId="164" fontId="1" fillId="6" borderId="11" xfId="0" applyNumberFormat="1" applyFont="1" applyFill="1" applyBorder="1"/>
    <xf numFmtId="0" fontId="1" fillId="0" borderId="11" xfId="0" applyFont="1" applyBorder="1"/>
    <xf numFmtId="164" fontId="1" fillId="0" borderId="11" xfId="0" applyNumberFormat="1" applyFont="1" applyBorder="1"/>
    <xf numFmtId="165" fontId="1" fillId="6" borderId="11" xfId="0" applyNumberFormat="1" applyFont="1" applyFill="1" applyBorder="1"/>
    <xf numFmtId="165" fontId="1" fillId="0" borderId="11" xfId="0" applyNumberFormat="1" applyFont="1" applyBorder="1"/>
    <xf numFmtId="0" fontId="1" fillId="6" borderId="16" xfId="0" applyFont="1" applyFill="1" applyBorder="1"/>
    <xf numFmtId="164" fontId="1" fillId="6" borderId="16" xfId="0" applyNumberFormat="1" applyFont="1" applyFill="1" applyBorder="1"/>
    <xf numFmtId="165" fontId="1" fillId="6" borderId="16" xfId="0" applyNumberFormat="1" applyFont="1" applyFill="1" applyBorder="1"/>
    <xf numFmtId="0" fontId="1" fillId="6" borderId="17" xfId="0" applyFont="1" applyFill="1" applyBorder="1"/>
    <xf numFmtId="164" fontId="1" fillId="6" borderId="17" xfId="0" applyNumberFormat="1" applyFont="1" applyFill="1" applyBorder="1"/>
    <xf numFmtId="165" fontId="1" fillId="6" borderId="17" xfId="0" applyNumberFormat="1" applyFont="1" applyFill="1" applyBorder="1"/>
    <xf numFmtId="0" fontId="22" fillId="0" borderId="0" xfId="0" applyFont="1" applyAlignment="1">
      <alignment horizontal="left" vertical="center" indent="1"/>
    </xf>
    <xf numFmtId="0" fontId="21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yyyy\-mm\-dd;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hh:mm:ss;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hh:mm:ss;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3"/>
      <tableStyleElement type="headerRow" dxfId="9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27956A-416A-4969-BC5F-854E88BAA989}" name="Table1" displayName="Table1" ref="A1:X40" totalsRowShown="0" headerRowDxfId="87" dataDxfId="86">
  <autoFilter ref="A1:X40" xr:uid="{B627956A-416A-4969-BC5F-854E88BAA989}"/>
  <tableColumns count="24">
    <tableColumn id="1" xr3:uid="{FF3E5922-0506-4761-A43D-E3D5C9239AA2}" name="name" dataDxfId="85"/>
    <tableColumn id="2" xr3:uid="{183199E3-60D3-4110-9EED-E3451B0714C6}" name="ID" dataDxfId="84"/>
    <tableColumn id="3" xr3:uid="{FA297CAC-8592-41F8-9BBC-2C1C9F664114}" name="start_day" dataDxfId="83"/>
    <tableColumn id="4" xr3:uid="{32BAA9CE-7416-4E1E-86CA-8691570C51FB}" name="start_time" dataDxfId="82"/>
    <tableColumn id="5" xr3:uid="{145195A9-1DC5-42ED-87C8-4B274D362B7A}" name="end_day" dataDxfId="81"/>
    <tableColumn id="6" xr3:uid="{CEDAC06B-0742-4849-A820-A0A7026F8EA6}" name="end_time" dataDxfId="80"/>
    <tableColumn id="7" xr3:uid="{DDEBED02-DA0A-4C74-B383-50FFFD55EFA6}" name="car1" dataDxfId="79"/>
    <tableColumn id="8" xr3:uid="{05AFF038-A5D5-40C5-903B-99C4E2A94E68}" name="car2" dataDxfId="78"/>
    <tableColumn id="9" xr3:uid="{4845C9B0-D908-4D7C-A045-A3D9F56EFB94}" name="car3" dataDxfId="77"/>
    <tableColumn id="10" xr3:uid="{87CD88D1-BAA3-4AEE-85FD-E58E8811A747}" name="moto1" dataDxfId="76"/>
    <tableColumn id="11" xr3:uid="{6B4E6649-C4BB-4F58-B8E3-DCB87B0D4766}" name="moto2" dataDxfId="75"/>
    <tableColumn id="12" xr3:uid="{67A832A6-7C27-48A8-9C9D-44572383B868}" name="moto3" dataDxfId="74"/>
    <tableColumn id="13" xr3:uid="{C141EC19-BB0E-4257-B893-F031F36DA5F3}" name="bus1" dataDxfId="73"/>
    <tableColumn id="14" xr3:uid="{45DB0497-5C17-47C6-90DE-EC94EFCB5256}" name="bus2" dataDxfId="72"/>
    <tableColumn id="15" xr3:uid="{9568041D-2892-430F-9926-65D71C03D21B}" name="bus3" dataDxfId="71"/>
    <tableColumn id="16" xr3:uid="{A352A1B7-3E99-406D-9E73-6747215FBA9F}" name="rv1" dataDxfId="70"/>
    <tableColumn id="17" xr3:uid="{7AAB463D-1F4D-4E90-8A3B-9BA161D5D44F}" name="rv2" dataDxfId="69"/>
    <tableColumn id="18" xr3:uid="{357786FB-D8E1-4687-ABC0-C276C27DCA46}" name="rv3" dataDxfId="68"/>
    <tableColumn id="19" xr3:uid="{C2151CB4-B8C0-46ED-A4E9-CA9BC1C7CE99}" name="truck1" dataDxfId="67"/>
    <tableColumn id="20" xr3:uid="{891E7012-D111-4326-8C18-AE34464B943D}" name="truck2" dataDxfId="66"/>
    <tableColumn id="21" xr3:uid="{F777050D-5477-43A6-800F-DE91E616E464}" name="taxi1" dataDxfId="65"/>
    <tableColumn id="22" xr3:uid="{5B055200-0309-460F-9D71-136CA08DA15B}" name="taxi2" dataDxfId="64"/>
    <tableColumn id="23" xr3:uid="{E7DD151F-987A-4769-86AE-78B4C912C304}" name="taxi3" dataDxfId="63"/>
    <tableColumn id="24" xr3:uid="{DFFCCD64-A697-4C6A-A2D1-BB84CAB26CDA}" name="date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050EDF-8454-47D0-AF02-F0CA5548172F}" name="Table5" displayName="Table5" ref="M9:AJ48" totalsRowShown="0" headerRowDxfId="53" dataDxfId="51" headerRowBorderDxfId="52" tableBorderDxfId="50" totalsRowBorderDxfId="49">
  <autoFilter ref="M9:AJ48" xr:uid="{FA050EDF-8454-47D0-AF02-F0CA5548172F}"/>
  <tableColumns count="24">
    <tableColumn id="1" xr3:uid="{3241FCF3-C2CD-4924-8BBE-650DA9141A83}" name="Column1" dataDxfId="48"/>
    <tableColumn id="2" xr3:uid="{27FFBAAF-C4BD-4355-BDD3-D9D26C2F1001}" name="Column2" dataDxfId="47"/>
    <tableColumn id="3" xr3:uid="{4A6AD405-6FD6-46F8-81C3-85A32EB95A60}" name="Column3" dataDxfId="46"/>
    <tableColumn id="4" xr3:uid="{39321511-9C27-4522-B865-18ADA9B54CEE}" name="Column4" dataDxfId="45"/>
    <tableColumn id="5" xr3:uid="{F35E6F65-7ED3-4428-8265-507677E414E2}" name="Column5" dataDxfId="44"/>
    <tableColumn id="6" xr3:uid="{64833617-27C2-43E0-949A-1A21AD08888E}" name="Column6" dataDxfId="43"/>
    <tableColumn id="7" xr3:uid="{358BFD44-4113-4545-9C84-2E7C81519469}" name="Column7" dataDxfId="42"/>
    <tableColumn id="8" xr3:uid="{E12A74B8-569F-4382-900A-70BF090007A0}" name="Column8" dataDxfId="41"/>
    <tableColumn id="9" xr3:uid="{8107C77C-A214-41C8-B07C-6B8E43E9DC91}" name="Column9" dataDxfId="40"/>
    <tableColumn id="10" xr3:uid="{D4815E3E-457A-4E5D-820D-AA2E12B87E36}" name="Column10" dataDxfId="39"/>
    <tableColumn id="11" xr3:uid="{62612686-05E4-45F1-9B74-13472EABA729}" name="Column11" dataDxfId="38"/>
    <tableColumn id="12" xr3:uid="{9279F9D1-0F11-47E1-924A-0B644F05495F}" name="Column12" dataDxfId="37"/>
    <tableColumn id="13" xr3:uid="{CE4B3BC6-35A2-48DC-970E-0A577216ED4A}" name="Column13" dataDxfId="36"/>
    <tableColumn id="14" xr3:uid="{9BD562C4-2D02-456C-BB0D-FDA9BDF39A71}" name="Column14" dataDxfId="35"/>
    <tableColumn id="15" xr3:uid="{85C05BA4-A685-4C47-88C1-D2A76A965656}" name="Column15" dataDxfId="34"/>
    <tableColumn id="16" xr3:uid="{F5E83AF3-D9AD-46BE-813A-1CC2F7F77B77}" name="Column16" dataDxfId="33"/>
    <tableColumn id="17" xr3:uid="{CAC22C7F-C21C-47C4-9539-E089F3EFDCF5}" name="Column17" dataDxfId="32"/>
    <tableColumn id="18" xr3:uid="{A4BC7738-5C9B-4D0E-BAB5-91E8CF2AD7CA}" name="Column18" dataDxfId="31"/>
    <tableColumn id="19" xr3:uid="{172DE2D3-E0F7-4343-9DAE-D5EE0457BBBE}" name="Column19" dataDxfId="30"/>
    <tableColumn id="20" xr3:uid="{C850D05C-5CA9-41C1-B8AD-A13A47507A9C}" name="Column20" dataDxfId="29"/>
    <tableColumn id="21" xr3:uid="{FACCC8E5-2A02-4B4F-A4C4-A8D612EF83E1}" name="Column21" dataDxfId="28"/>
    <tableColumn id="22" xr3:uid="{38FCF677-1AE7-4543-A463-20E3A34ECCC6}" name="Column22" dataDxfId="27"/>
    <tableColumn id="23" xr3:uid="{F46C7E3E-456B-4842-9FC3-0553D56E588D}" name="Column23" dataDxfId="26"/>
    <tableColumn id="24" xr3:uid="{D275B1F8-89C7-41F2-B36B-73827E0B59AB}" name="Column24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1104AB-54C6-481D-871E-AC17F4D54A84}" name="Table_A" displayName="Table_A" ref="A9:J18" totalsRowShown="0" headerRowDxfId="24" dataDxfId="22" headerRowBorderDxfId="23" tableBorderDxfId="21" totalsRowBorderDxfId="20">
  <autoFilter ref="A9:J18" xr:uid="{831104AB-54C6-481D-871E-AC17F4D54A84}"/>
  <tableColumns count="10">
    <tableColumn id="1" xr3:uid="{34941921-D770-489A-B96D-8E4BBA48B02F}" name="Column1" dataDxfId="19"/>
    <tableColumn id="2" xr3:uid="{56A68796-D094-4A05-A7BA-41489250FDBA}" name="A" dataDxfId="18"/>
    <tableColumn id="3" xr3:uid="{30F501E7-0CCB-478E-8081-CEAABE27210D}" name="B" dataDxfId="17"/>
    <tableColumn id="4" xr3:uid="{62386B95-D658-420D-AAB9-ABDDDAD56D27}" name="C" dataDxfId="16"/>
    <tableColumn id="5" xr3:uid="{7646BB5F-6ED4-44E3-8C8F-6202DE86DBFB}" name="D" dataDxfId="15"/>
    <tableColumn id="6" xr3:uid="{CC2139BE-81F0-449F-A706-C245F0778F71}" name="E" dataDxfId="14"/>
    <tableColumn id="7" xr3:uid="{9B7D6362-F9A2-4C60-8970-F2F241D9619A}" name="F" dataDxfId="13"/>
    <tableColumn id="8" xr3:uid="{F1712016-00B2-443C-A0B5-BDBA72A8A6D8}" name="G" dataDxfId="12"/>
    <tableColumn id="9" xr3:uid="{CFF8E5C9-A663-44A0-8627-5DCE2D9170B4}" name="H" dataDxfId="11"/>
    <tableColumn id="10" xr3:uid="{6F70937D-9001-4B14-86FF-0E1C0635DBE1}" name="I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B45F81-E53F-40B4-892C-735885B73E4A}" name="Table_B" displayName="Table_B" ref="M9:N18" totalsRowShown="0" headerRowDxfId="9" headerRowBorderDxfId="8" tableBorderDxfId="7">
  <autoFilter ref="M9:N18" xr:uid="{31B45F81-E53F-40B4-892C-735885B73E4A}"/>
  <tableColumns count="2">
    <tableColumn id="1" xr3:uid="{C5359E50-95AF-4C92-A858-EA7D94A84B2C}" name="ID" dataDxfId="6"/>
    <tableColumn id="2" xr3:uid="{8284621C-86A1-4C5D-B104-5699E7C665FC}" name="Name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8688E69-C289-4420-A9C9-62F2A95340F3}" name="Table_C" displayName="Table_C" ref="A22:C35" totalsRowShown="0" headerRowBorderDxfId="4" tableBorderDxfId="3">
  <autoFilter ref="A22:C35" xr:uid="{E8688E69-C289-4420-A9C9-62F2A95340F3}"/>
  <tableColumns count="3">
    <tableColumn id="1" xr3:uid="{4E790011-AF4E-492B-990D-EE76E81EED3C}" name="Table_C" dataDxfId="2"/>
    <tableColumn id="2" xr3:uid="{791ADCD4-612C-46A9-A547-859D72B3E46E}" name="name_2" dataDxfId="1"/>
    <tableColumn id="3" xr3:uid="{954B506E-7C4E-4295-8C56-0853B247BF9E}" name="value" dataDxfId="0">
      <calculatedColumnFormula>INDEX(Table_A_range, MATCH(10100, Table_A_ID_column, 0), MATCH(10102, Table_A_ID_row, 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4" t="s">
        <v>170</v>
      </c>
      <c r="B9" s="24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169</v>
      </c>
      <c r="B15" s="23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E1" zoomScale="70" zoomScaleNormal="70" workbookViewId="0">
      <pane ySplit="1" topLeftCell="A11" activePane="bottomLeft" state="frozen"/>
      <selection pane="bottomLeft" activeCell="I31" sqref="A2:X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10.77734375" style="1" customWidth="1"/>
    <col min="4" max="4" width="11.44140625" style="22" customWidth="1"/>
    <col min="5" max="5" width="10.21875" style="1" customWidth="1"/>
    <col min="6" max="6" width="10.88671875" style="22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104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</sheetData>
  <conditionalFormatting sqref="A1:A1048576">
    <cfRule type="duplicateValues" dxfId="91" priority="4"/>
  </conditionalFormatting>
  <conditionalFormatting sqref="B1:B1048576">
    <cfRule type="duplicateValues" dxfId="90" priority="3"/>
  </conditionalFormatting>
  <conditionalFormatting sqref="A1:X40">
    <cfRule type="cellIs" dxfId="89" priority="1" operator="equal">
      <formula>0</formula>
    </cfRule>
    <cfRule type="cellIs" dxfId="88" priority="2" operator="equal">
      <formula>-1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106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103</v>
      </c>
      <c r="C5" s="32">
        <f>SUMIF(H:H, "&gt;20")</f>
        <v>0</v>
      </c>
      <c r="E5" s="1">
        <v>10</v>
      </c>
    </row>
    <row r="6" spans="1:5" x14ac:dyDescent="0.3">
      <c r="A6" s="6">
        <v>4</v>
      </c>
      <c r="B6" s="2" t="s">
        <v>105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AJ48"/>
  <sheetViews>
    <sheetView topLeftCell="B10" zoomScaleNormal="100" workbookViewId="0">
      <selection activeCell="U14" sqref="U14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21" width="11" style="2"/>
    <col min="22" max="36" width="11.44140625" style="2" customWidth="1"/>
    <col min="37" max="16384" width="11" style="2"/>
  </cols>
  <sheetData>
    <row r="1" spans="1:36" s="39" customFormat="1" ht="21" x14ac:dyDescent="0.4">
      <c r="A1" s="40" t="s">
        <v>55</v>
      </c>
      <c r="B1" s="39" t="s">
        <v>163</v>
      </c>
    </row>
    <row r="2" spans="1:36" s="39" customFormat="1" ht="21" x14ac:dyDescent="0.4">
      <c r="B2" s="39" t="s">
        <v>160</v>
      </c>
    </row>
    <row r="3" spans="1:36" ht="14.4" x14ac:dyDescent="0.3">
      <c r="A3" s="1"/>
      <c r="B3" s="1"/>
      <c r="C3" s="1"/>
      <c r="D3" s="1"/>
      <c r="E3" s="1"/>
      <c r="F3" s="1"/>
      <c r="G3" s="1"/>
    </row>
    <row r="4" spans="1:36" ht="23.4" x14ac:dyDescent="0.45">
      <c r="A4" s="16" t="s">
        <v>161</v>
      </c>
      <c r="B4" s="1"/>
      <c r="C4" s="1"/>
      <c r="D4" s="1"/>
      <c r="E4" s="1"/>
      <c r="F4" s="1"/>
      <c r="G4" s="1"/>
    </row>
    <row r="5" spans="1:36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36" ht="14.4" x14ac:dyDescent="0.3">
      <c r="A6" s="7" t="s">
        <v>40</v>
      </c>
      <c r="B6" s="11"/>
      <c r="C6" s="11"/>
      <c r="D6" s="11"/>
      <c r="E6" s="11"/>
      <c r="F6" s="8"/>
    </row>
    <row r="7" spans="1:36" ht="14.4" x14ac:dyDescent="0.3">
      <c r="A7" s="7" t="s">
        <v>4</v>
      </c>
      <c r="B7" s="11"/>
      <c r="C7" s="11"/>
      <c r="D7" s="11"/>
      <c r="E7" s="11"/>
      <c r="F7" s="8"/>
    </row>
    <row r="8" spans="1:36" ht="14.4" x14ac:dyDescent="0.3">
      <c r="A8" s="7" t="s">
        <v>7</v>
      </c>
      <c r="B8" s="11"/>
      <c r="C8" s="11"/>
      <c r="D8" s="11"/>
      <c r="E8" s="11"/>
      <c r="F8" s="8"/>
    </row>
    <row r="9" spans="1:36" ht="14.4" x14ac:dyDescent="0.3">
      <c r="A9" s="7" t="s">
        <v>8</v>
      </c>
      <c r="B9" s="11"/>
      <c r="C9" s="11"/>
      <c r="D9" s="11"/>
      <c r="E9" s="11"/>
      <c r="F9" s="8"/>
      <c r="M9" s="61" t="s">
        <v>177</v>
      </c>
      <c r="N9" s="61" t="s">
        <v>178</v>
      </c>
      <c r="O9" s="61" t="s">
        <v>179</v>
      </c>
      <c r="P9" s="62" t="s">
        <v>180</v>
      </c>
      <c r="Q9" s="61" t="s">
        <v>181</v>
      </c>
      <c r="R9" s="62" t="s">
        <v>182</v>
      </c>
      <c r="S9" s="61" t="s">
        <v>183</v>
      </c>
      <c r="T9" s="61" t="s">
        <v>184</v>
      </c>
      <c r="U9" s="61" t="s">
        <v>185</v>
      </c>
      <c r="V9" s="61" t="s">
        <v>186</v>
      </c>
      <c r="W9" s="61" t="s">
        <v>187</v>
      </c>
      <c r="X9" s="61" t="s">
        <v>188</v>
      </c>
      <c r="Y9" s="61" t="s">
        <v>189</v>
      </c>
      <c r="Z9" s="61" t="s">
        <v>190</v>
      </c>
      <c r="AA9" s="61" t="s">
        <v>191</v>
      </c>
      <c r="AB9" s="61" t="s">
        <v>192</v>
      </c>
      <c r="AC9" s="61" t="s">
        <v>193</v>
      </c>
      <c r="AD9" s="61" t="s">
        <v>194</v>
      </c>
      <c r="AE9" s="61" t="s">
        <v>195</v>
      </c>
      <c r="AF9" s="61" t="s">
        <v>196</v>
      </c>
      <c r="AG9" s="61" t="s">
        <v>197</v>
      </c>
      <c r="AH9" s="61" t="s">
        <v>198</v>
      </c>
      <c r="AI9" s="61" t="s">
        <v>199</v>
      </c>
      <c r="AJ9" s="63" t="s">
        <v>200</v>
      </c>
    </row>
    <row r="10" spans="1:36" ht="14.4" x14ac:dyDescent="0.3">
      <c r="A10" s="7" t="s">
        <v>11</v>
      </c>
      <c r="B10" s="11"/>
      <c r="C10" s="11"/>
      <c r="D10" s="11"/>
      <c r="E10" s="11"/>
      <c r="F10" s="8"/>
      <c r="I10" s="2" t="str">
        <f>IFERROR(VLOOKUP($A2, Dataset!$A$2:$W$100, MATCH("car1", Dataset!$A$1:$W$1, 0) + COLUMN($A2) - 1, FALSE), "")</f>
        <v/>
      </c>
      <c r="M10" s="55" t="s">
        <v>40</v>
      </c>
      <c r="N10" s="55">
        <v>20000</v>
      </c>
      <c r="O10" s="55" t="s">
        <v>5</v>
      </c>
      <c r="P10" s="56">
        <v>0</v>
      </c>
      <c r="Q10" s="55" t="s">
        <v>6</v>
      </c>
      <c r="R10" s="56">
        <v>0.99998842592592596</v>
      </c>
      <c r="S10" s="55">
        <v>2.7</v>
      </c>
      <c r="T10" s="55">
        <v>3.6</v>
      </c>
      <c r="U10" s="55">
        <v>4.2</v>
      </c>
      <c r="V10" s="55">
        <v>-1</v>
      </c>
      <c r="W10" s="55">
        <v>-1</v>
      </c>
      <c r="X10" s="55">
        <v>-1</v>
      </c>
      <c r="Y10" s="55">
        <v>5.3</v>
      </c>
      <c r="Z10" s="55">
        <v>7.6</v>
      </c>
      <c r="AA10" s="55">
        <v>8.9</v>
      </c>
      <c r="AB10" s="55">
        <v>2.7</v>
      </c>
      <c r="AC10" s="55">
        <v>3.6</v>
      </c>
      <c r="AD10" s="55">
        <v>4.2</v>
      </c>
      <c r="AE10" s="55">
        <v>7.6</v>
      </c>
      <c r="AF10" s="55">
        <v>8.9</v>
      </c>
      <c r="AG10" s="55">
        <v>3.6</v>
      </c>
      <c r="AH10" s="55">
        <v>4.2</v>
      </c>
      <c r="AI10" s="55">
        <v>4.2</v>
      </c>
      <c r="AJ10" s="59">
        <v>45051</v>
      </c>
    </row>
    <row r="11" spans="1:36" ht="14.4" x14ac:dyDescent="0.3">
      <c r="A11" s="7" t="s">
        <v>12</v>
      </c>
      <c r="B11" s="11"/>
      <c r="C11" s="11"/>
      <c r="D11" s="11"/>
      <c r="E11" s="11"/>
      <c r="F11" s="8"/>
      <c r="M11" s="57" t="s">
        <v>4</v>
      </c>
      <c r="N11" s="57">
        <v>20002</v>
      </c>
      <c r="O11" s="57" t="s">
        <v>5</v>
      </c>
      <c r="P11" s="58">
        <v>0</v>
      </c>
      <c r="Q11" s="57" t="s">
        <v>6</v>
      </c>
      <c r="R11" s="58">
        <v>0.99998842592592596</v>
      </c>
      <c r="S11" s="57">
        <v>2.7</v>
      </c>
      <c r="T11" s="57">
        <v>3.6</v>
      </c>
      <c r="U11" s="57">
        <v>4.2</v>
      </c>
      <c r="V11" s="57">
        <v>-1</v>
      </c>
      <c r="W11" s="57">
        <v>-1</v>
      </c>
      <c r="X11" s="57">
        <v>-1</v>
      </c>
      <c r="Y11" s="57">
        <v>5.3</v>
      </c>
      <c r="Z11" s="57">
        <v>7.6</v>
      </c>
      <c r="AA11" s="57">
        <v>8.9</v>
      </c>
      <c r="AB11" s="57">
        <v>2.7</v>
      </c>
      <c r="AC11" s="57">
        <v>3.6</v>
      </c>
      <c r="AD11" s="57">
        <v>4.2</v>
      </c>
      <c r="AE11" s="57">
        <v>7.6</v>
      </c>
      <c r="AF11" s="57">
        <v>8.9</v>
      </c>
      <c r="AG11" s="57">
        <v>3.6</v>
      </c>
      <c r="AH11" s="57">
        <v>4.2</v>
      </c>
      <c r="AI11" s="57">
        <v>4.2</v>
      </c>
      <c r="AJ11" s="60">
        <v>45048</v>
      </c>
    </row>
    <row r="12" spans="1:36" ht="14.4" x14ac:dyDescent="0.3">
      <c r="A12" s="7" t="s">
        <v>14</v>
      </c>
      <c r="B12" s="11"/>
      <c r="C12" s="11"/>
      <c r="D12" s="11"/>
      <c r="E12" s="11"/>
      <c r="F12" s="8"/>
      <c r="M12" s="55" t="s">
        <v>7</v>
      </c>
      <c r="N12" s="55">
        <v>20004</v>
      </c>
      <c r="O12" s="55" t="s">
        <v>5</v>
      </c>
      <c r="P12" s="56">
        <v>0</v>
      </c>
      <c r="Q12" s="55" t="s">
        <v>6</v>
      </c>
      <c r="R12" s="56">
        <v>0.99998842592592596</v>
      </c>
      <c r="S12" s="55">
        <v>3.6</v>
      </c>
      <c r="T12" s="55">
        <v>5.4</v>
      </c>
      <c r="U12" s="55">
        <v>5.8</v>
      </c>
      <c r="V12" s="55">
        <v>-1</v>
      </c>
      <c r="W12" s="55">
        <v>-1</v>
      </c>
      <c r="X12" s="55">
        <v>-1</v>
      </c>
      <c r="Y12" s="55">
        <v>7.6</v>
      </c>
      <c r="Z12" s="55">
        <v>11.1</v>
      </c>
      <c r="AA12" s="55">
        <v>12.2</v>
      </c>
      <c r="AB12" s="55">
        <v>3.6</v>
      </c>
      <c r="AC12" s="55">
        <v>5.4</v>
      </c>
      <c r="AD12" s="55">
        <v>5.8</v>
      </c>
      <c r="AE12" s="55">
        <v>11.1</v>
      </c>
      <c r="AF12" s="55">
        <v>12.2</v>
      </c>
      <c r="AG12" s="55">
        <v>5.4</v>
      </c>
      <c r="AH12" s="55">
        <v>5.8</v>
      </c>
      <c r="AI12" s="55">
        <v>5.8</v>
      </c>
      <c r="AJ12" s="59">
        <v>45055</v>
      </c>
    </row>
    <row r="13" spans="1:36" ht="14.4" x14ac:dyDescent="0.3">
      <c r="A13" s="7" t="s">
        <v>15</v>
      </c>
      <c r="B13" s="11"/>
      <c r="C13" s="11"/>
      <c r="D13" s="11"/>
      <c r="E13" s="11"/>
      <c r="F13" s="8"/>
      <c r="M13" s="57" t="s">
        <v>8</v>
      </c>
      <c r="N13" s="57">
        <v>20006</v>
      </c>
      <c r="O13" s="57" t="s">
        <v>5</v>
      </c>
      <c r="P13" s="58">
        <v>0</v>
      </c>
      <c r="Q13" s="57" t="s">
        <v>6</v>
      </c>
      <c r="R13" s="58">
        <v>0.99998842592592596</v>
      </c>
      <c r="S13" s="57">
        <v>4.9000000000000004</v>
      </c>
      <c r="T13" s="57">
        <v>6.6</v>
      </c>
      <c r="U13" s="57">
        <v>8.1</v>
      </c>
      <c r="V13" s="57">
        <v>-1</v>
      </c>
      <c r="W13" s="57">
        <v>-1</v>
      </c>
      <c r="X13" s="57">
        <v>-1</v>
      </c>
      <c r="Y13" s="57">
        <v>10</v>
      </c>
      <c r="Z13" s="57">
        <v>13.3</v>
      </c>
      <c r="AA13" s="57">
        <v>17</v>
      </c>
      <c r="AB13" s="57">
        <v>4.9000000000000004</v>
      </c>
      <c r="AC13" s="57">
        <v>6.6</v>
      </c>
      <c r="AD13" s="57">
        <v>8.1</v>
      </c>
      <c r="AE13" s="57">
        <v>13.3</v>
      </c>
      <c r="AF13" s="57">
        <v>17</v>
      </c>
      <c r="AG13" s="57">
        <v>6.6</v>
      </c>
      <c r="AH13" s="57">
        <v>8.1</v>
      </c>
      <c r="AI13" s="57">
        <v>8.1</v>
      </c>
      <c r="AJ13" s="60">
        <v>45059</v>
      </c>
    </row>
    <row r="14" spans="1:36" ht="14.4" x14ac:dyDescent="0.3">
      <c r="A14" s="7" t="s">
        <v>16</v>
      </c>
      <c r="B14" s="11"/>
      <c r="C14" s="11"/>
      <c r="D14" s="11"/>
      <c r="E14" s="11"/>
      <c r="F14" s="8"/>
      <c r="M14" s="55" t="s">
        <v>9</v>
      </c>
      <c r="N14" s="55">
        <v>20008</v>
      </c>
      <c r="O14" s="55" t="s">
        <v>5</v>
      </c>
      <c r="P14" s="56">
        <v>0</v>
      </c>
      <c r="Q14" s="55" t="s">
        <v>6</v>
      </c>
      <c r="R14" s="56">
        <v>0.99998842592592596</v>
      </c>
      <c r="S14" s="55">
        <v>6.6</v>
      </c>
      <c r="T14" s="55">
        <v>8.8000000000000007</v>
      </c>
      <c r="U14" s="55">
        <v>11</v>
      </c>
      <c r="V14" s="55">
        <v>-1</v>
      </c>
      <c r="W14" s="55">
        <v>-1</v>
      </c>
      <c r="X14" s="55">
        <v>-1</v>
      </c>
      <c r="Y14" s="55">
        <v>13.3</v>
      </c>
      <c r="Z14" s="55">
        <v>18</v>
      </c>
      <c r="AA14" s="55">
        <v>22.5</v>
      </c>
      <c r="AB14" s="55">
        <v>6.6</v>
      </c>
      <c r="AC14" s="55">
        <v>8.8000000000000007</v>
      </c>
      <c r="AD14" s="55">
        <v>11</v>
      </c>
      <c r="AE14" s="55">
        <v>18</v>
      </c>
      <c r="AF14" s="55">
        <v>22.5</v>
      </c>
      <c r="AG14" s="55">
        <v>8.8000000000000007</v>
      </c>
      <c r="AH14" s="55">
        <v>11</v>
      </c>
      <c r="AI14" s="55">
        <v>11</v>
      </c>
      <c r="AJ14" s="59">
        <v>45076</v>
      </c>
    </row>
    <row r="15" spans="1:36" ht="14.4" x14ac:dyDescent="0.3">
      <c r="A15" s="7" t="s">
        <v>18</v>
      </c>
      <c r="B15" s="11"/>
      <c r="C15" s="11"/>
      <c r="D15" s="11"/>
      <c r="E15" s="11"/>
      <c r="F15" s="8"/>
      <c r="M15" s="57" t="s">
        <v>10</v>
      </c>
      <c r="N15" s="57">
        <v>20010</v>
      </c>
      <c r="O15" s="57" t="s">
        <v>5</v>
      </c>
      <c r="P15" s="58">
        <v>0</v>
      </c>
      <c r="Q15" s="57" t="s">
        <v>6</v>
      </c>
      <c r="R15" s="58">
        <v>0.99998842592592596</v>
      </c>
      <c r="S15" s="57">
        <v>7.1</v>
      </c>
      <c r="T15" s="57">
        <v>10.4</v>
      </c>
      <c r="U15" s="57">
        <v>12.8</v>
      </c>
      <c r="V15" s="57">
        <v>-1</v>
      </c>
      <c r="W15" s="57">
        <v>-1</v>
      </c>
      <c r="X15" s="57">
        <v>-1</v>
      </c>
      <c r="Y15" s="57">
        <v>14.4</v>
      </c>
      <c r="Z15" s="57">
        <v>21.5</v>
      </c>
      <c r="AA15" s="57">
        <v>26.1</v>
      </c>
      <c r="AB15" s="57">
        <v>7.1</v>
      </c>
      <c r="AC15" s="57">
        <v>10.4</v>
      </c>
      <c r="AD15" s="57">
        <v>12.8</v>
      </c>
      <c r="AE15" s="57">
        <v>21.5</v>
      </c>
      <c r="AF15" s="57">
        <v>26.1</v>
      </c>
      <c r="AG15" s="57">
        <v>10.4</v>
      </c>
      <c r="AH15" s="57">
        <v>12.8</v>
      </c>
      <c r="AI15" s="57">
        <v>12.8</v>
      </c>
      <c r="AJ15" s="60">
        <v>45057</v>
      </c>
    </row>
    <row r="16" spans="1:36" ht="14.4" x14ac:dyDescent="0.3">
      <c r="A16" s="7" t="s">
        <v>20</v>
      </c>
      <c r="B16" s="11"/>
      <c r="C16" s="11"/>
      <c r="D16" s="11"/>
      <c r="E16" s="11"/>
      <c r="F16" s="8"/>
      <c r="M16" s="55" t="s">
        <v>11</v>
      </c>
      <c r="N16" s="55">
        <v>20012</v>
      </c>
      <c r="O16" s="55" t="s">
        <v>5</v>
      </c>
      <c r="P16" s="56">
        <v>0</v>
      </c>
      <c r="Q16" s="55" t="s">
        <v>6</v>
      </c>
      <c r="R16" s="56">
        <v>0.99998842592592596</v>
      </c>
      <c r="S16" s="55">
        <v>9.4</v>
      </c>
      <c r="T16" s="55">
        <v>13.8</v>
      </c>
      <c r="U16" s="55">
        <v>16.100000000000001</v>
      </c>
      <c r="V16" s="55">
        <v>-1</v>
      </c>
      <c r="W16" s="55">
        <v>-1</v>
      </c>
      <c r="X16" s="55">
        <v>-1</v>
      </c>
      <c r="Y16" s="55">
        <v>19.2</v>
      </c>
      <c r="Z16" s="55">
        <v>28.3</v>
      </c>
      <c r="AA16" s="55">
        <v>32.799999999999997</v>
      </c>
      <c r="AB16" s="55">
        <v>9.4</v>
      </c>
      <c r="AC16" s="55">
        <v>13.8</v>
      </c>
      <c r="AD16" s="55">
        <v>16.100000000000001</v>
      </c>
      <c r="AE16" s="55">
        <v>28.3</v>
      </c>
      <c r="AF16" s="55">
        <v>32.799999999999997</v>
      </c>
      <c r="AG16" s="55">
        <v>13.8</v>
      </c>
      <c r="AH16" s="55">
        <v>16.100000000000001</v>
      </c>
      <c r="AI16" s="55">
        <v>16.100000000000001</v>
      </c>
      <c r="AJ16" s="59">
        <v>45052</v>
      </c>
    </row>
    <row r="17" spans="1:36" ht="14.4" x14ac:dyDescent="0.3">
      <c r="A17" s="7" t="s">
        <v>22</v>
      </c>
      <c r="B17" s="11"/>
      <c r="C17" s="11"/>
      <c r="D17" s="11"/>
      <c r="E17" s="11"/>
      <c r="F17" s="8"/>
      <c r="M17" s="57" t="s">
        <v>12</v>
      </c>
      <c r="N17" s="57">
        <v>20014</v>
      </c>
      <c r="O17" s="57" t="s">
        <v>5</v>
      </c>
      <c r="P17" s="58">
        <v>0</v>
      </c>
      <c r="Q17" s="57" t="s">
        <v>6</v>
      </c>
      <c r="R17" s="58">
        <v>0.99998842592592596</v>
      </c>
      <c r="S17" s="57">
        <v>11.6</v>
      </c>
      <c r="T17" s="57">
        <v>17.3</v>
      </c>
      <c r="U17" s="57">
        <v>21.3</v>
      </c>
      <c r="V17" s="57">
        <v>-1</v>
      </c>
      <c r="W17" s="57">
        <v>-1</v>
      </c>
      <c r="X17" s="57">
        <v>-1</v>
      </c>
      <c r="Y17" s="57">
        <v>23.6</v>
      </c>
      <c r="Z17" s="57">
        <v>35.200000000000003</v>
      </c>
      <c r="AA17" s="57">
        <v>43</v>
      </c>
      <c r="AB17" s="57">
        <v>11.6</v>
      </c>
      <c r="AC17" s="57">
        <v>17.3</v>
      </c>
      <c r="AD17" s="57">
        <v>21.3</v>
      </c>
      <c r="AE17" s="57">
        <v>35.200000000000003</v>
      </c>
      <c r="AF17" s="57">
        <v>43</v>
      </c>
      <c r="AG17" s="57">
        <v>17.3</v>
      </c>
      <c r="AH17" s="57">
        <v>21.3</v>
      </c>
      <c r="AI17" s="57">
        <v>21.3</v>
      </c>
      <c r="AJ17" s="60">
        <v>45098</v>
      </c>
    </row>
    <row r="18" spans="1:36" ht="14.4" x14ac:dyDescent="0.3">
      <c r="A18" s="7" t="s">
        <v>23</v>
      </c>
      <c r="B18" s="11"/>
      <c r="C18" s="11"/>
      <c r="D18" s="11"/>
      <c r="E18" s="11"/>
      <c r="F18" s="8"/>
      <c r="M18" s="55" t="s">
        <v>13</v>
      </c>
      <c r="N18" s="55">
        <v>20016</v>
      </c>
      <c r="O18" s="55" t="s">
        <v>5</v>
      </c>
      <c r="P18" s="56">
        <v>0</v>
      </c>
      <c r="Q18" s="55" t="s">
        <v>6</v>
      </c>
      <c r="R18" s="56">
        <v>0.99998842592592596</v>
      </c>
      <c r="S18" s="55">
        <v>16.100000000000001</v>
      </c>
      <c r="T18" s="55">
        <v>24.1</v>
      </c>
      <c r="U18" s="55">
        <v>29.1</v>
      </c>
      <c r="V18" s="55">
        <v>-1</v>
      </c>
      <c r="W18" s="55">
        <v>-1</v>
      </c>
      <c r="X18" s="55">
        <v>-1</v>
      </c>
      <c r="Y18" s="55">
        <v>32.799999999999997</v>
      </c>
      <c r="Z18" s="55">
        <v>49</v>
      </c>
      <c r="AA18" s="55">
        <v>59</v>
      </c>
      <c r="AB18" s="55">
        <v>16.100000000000001</v>
      </c>
      <c r="AC18" s="55">
        <v>24.1</v>
      </c>
      <c r="AD18" s="55">
        <v>29.1</v>
      </c>
      <c r="AE18" s="55">
        <v>49</v>
      </c>
      <c r="AF18" s="55">
        <v>59</v>
      </c>
      <c r="AG18" s="55">
        <v>24.1</v>
      </c>
      <c r="AH18" s="55">
        <v>29.1</v>
      </c>
      <c r="AI18" s="55">
        <v>29.1</v>
      </c>
      <c r="AJ18" s="59">
        <v>45092</v>
      </c>
    </row>
    <row r="19" spans="1:36" ht="14.4" x14ac:dyDescent="0.3">
      <c r="A19" s="7" t="s">
        <v>24</v>
      </c>
      <c r="B19" s="11"/>
      <c r="C19" s="11"/>
      <c r="D19" s="11"/>
      <c r="E19" s="11"/>
      <c r="F19" s="8"/>
      <c r="M19" s="57" t="s">
        <v>14</v>
      </c>
      <c r="N19" s="57">
        <v>20018</v>
      </c>
      <c r="O19" s="57" t="s">
        <v>5</v>
      </c>
      <c r="P19" s="58">
        <v>0</v>
      </c>
      <c r="Q19" s="57" t="s">
        <v>6</v>
      </c>
      <c r="R19" s="58">
        <v>0.99998842592592596</v>
      </c>
      <c r="S19" s="57">
        <v>18.399999999999999</v>
      </c>
      <c r="T19" s="57">
        <v>27.5</v>
      </c>
      <c r="U19" s="57">
        <v>33.799999999999997</v>
      </c>
      <c r="V19" s="57">
        <v>-1</v>
      </c>
      <c r="W19" s="57">
        <v>-1</v>
      </c>
      <c r="X19" s="57">
        <v>-1</v>
      </c>
      <c r="Y19" s="57">
        <v>37.200000000000003</v>
      </c>
      <c r="Z19" s="57">
        <v>55.6</v>
      </c>
      <c r="AA19" s="57">
        <v>67.900000000000006</v>
      </c>
      <c r="AB19" s="57">
        <v>18.399999999999999</v>
      </c>
      <c r="AC19" s="57">
        <v>27.5</v>
      </c>
      <c r="AD19" s="57">
        <v>33.799999999999997</v>
      </c>
      <c r="AE19" s="57">
        <v>55.6</v>
      </c>
      <c r="AF19" s="57">
        <v>67.900000000000006</v>
      </c>
      <c r="AG19" s="57">
        <v>27.5</v>
      </c>
      <c r="AH19" s="57">
        <v>33.799999999999997</v>
      </c>
      <c r="AI19" s="57">
        <v>33.799999999999997</v>
      </c>
      <c r="AJ19" s="60">
        <v>45104</v>
      </c>
    </row>
    <row r="20" spans="1:36" ht="14.4" x14ac:dyDescent="0.3">
      <c r="A20" s="7" t="s">
        <v>28</v>
      </c>
      <c r="B20" s="11"/>
      <c r="C20" s="11"/>
      <c r="D20" s="11"/>
      <c r="E20" s="11"/>
      <c r="F20" s="8"/>
      <c r="M20" s="55" t="s">
        <v>15</v>
      </c>
      <c r="N20" s="55">
        <v>20020</v>
      </c>
      <c r="O20" s="55" t="s">
        <v>5</v>
      </c>
      <c r="P20" s="56">
        <v>0</v>
      </c>
      <c r="Q20" s="55" t="s">
        <v>6</v>
      </c>
      <c r="R20" s="56">
        <v>0.99998842592592596</v>
      </c>
      <c r="S20" s="55">
        <v>0</v>
      </c>
      <c r="T20" s="55">
        <v>0</v>
      </c>
      <c r="U20" s="55">
        <v>0</v>
      </c>
      <c r="V20" s="55">
        <v>0</v>
      </c>
      <c r="W20" s="55">
        <v>0</v>
      </c>
      <c r="X20" s="55">
        <v>0</v>
      </c>
      <c r="Y20" s="55">
        <v>0</v>
      </c>
      <c r="Z20" s="55">
        <v>0</v>
      </c>
      <c r="AA20" s="55">
        <v>0</v>
      </c>
      <c r="AB20" s="55">
        <v>0</v>
      </c>
      <c r="AC20" s="55">
        <v>0</v>
      </c>
      <c r="AD20" s="55">
        <v>0</v>
      </c>
      <c r="AE20" s="55">
        <v>0</v>
      </c>
      <c r="AF20" s="55">
        <v>0</v>
      </c>
      <c r="AG20" s="55">
        <v>0</v>
      </c>
      <c r="AH20" s="55">
        <v>0</v>
      </c>
      <c r="AI20" s="55">
        <v>0</v>
      </c>
      <c r="AJ20" s="59">
        <v>45116</v>
      </c>
    </row>
    <row r="21" spans="1:36" ht="14.4" x14ac:dyDescent="0.3">
      <c r="A21" s="7" t="s">
        <v>57</v>
      </c>
      <c r="B21" s="11"/>
      <c r="C21" s="11"/>
      <c r="D21" s="11"/>
      <c r="E21" s="11"/>
      <c r="F21" s="8"/>
      <c r="M21" s="57" t="s">
        <v>16</v>
      </c>
      <c r="N21" s="57">
        <v>20022</v>
      </c>
      <c r="O21" s="57" t="s">
        <v>5</v>
      </c>
      <c r="P21" s="58">
        <v>0</v>
      </c>
      <c r="Q21" s="57" t="s">
        <v>6</v>
      </c>
      <c r="R21" s="58">
        <v>0.99998842592592596</v>
      </c>
      <c r="S21" s="57">
        <v>21.9</v>
      </c>
      <c r="T21" s="57">
        <v>32.1</v>
      </c>
      <c r="U21" s="57">
        <v>40.1</v>
      </c>
      <c r="V21" s="57">
        <v>-1</v>
      </c>
      <c r="W21" s="57">
        <v>-1</v>
      </c>
      <c r="X21" s="57">
        <v>-1</v>
      </c>
      <c r="Y21" s="57">
        <v>42.3</v>
      </c>
      <c r="Z21" s="57">
        <v>61.5</v>
      </c>
      <c r="AA21" s="57">
        <v>76.599999999999994</v>
      </c>
      <c r="AB21" s="57">
        <v>21.9</v>
      </c>
      <c r="AC21" s="57">
        <v>32.1</v>
      </c>
      <c r="AD21" s="57">
        <v>40.1</v>
      </c>
      <c r="AE21" s="57">
        <v>61.5</v>
      </c>
      <c r="AF21" s="57">
        <v>76.599999999999994</v>
      </c>
      <c r="AG21" s="57">
        <v>32.1</v>
      </c>
      <c r="AH21" s="57">
        <v>40.1</v>
      </c>
      <c r="AI21" s="57">
        <v>40.1</v>
      </c>
      <c r="AJ21" s="60">
        <v>45110</v>
      </c>
    </row>
    <row r="22" spans="1:36" ht="14.4" x14ac:dyDescent="0.3">
      <c r="A22" s="7" t="s">
        <v>58</v>
      </c>
      <c r="B22" s="11"/>
      <c r="C22" s="11"/>
      <c r="D22" s="11"/>
      <c r="E22" s="11"/>
      <c r="F22" s="8"/>
      <c r="M22" s="55" t="s">
        <v>17</v>
      </c>
      <c r="N22" s="55">
        <v>20024</v>
      </c>
      <c r="O22" s="55" t="s">
        <v>5</v>
      </c>
      <c r="P22" s="56">
        <v>0</v>
      </c>
      <c r="Q22" s="55" t="s">
        <v>6</v>
      </c>
      <c r="R22" s="56">
        <v>0.99998842592592596</v>
      </c>
      <c r="S22" s="55">
        <v>23.5</v>
      </c>
      <c r="T22" s="55">
        <v>34.700000000000003</v>
      </c>
      <c r="U22" s="55">
        <v>42.7</v>
      </c>
      <c r="V22" s="55">
        <v>-1</v>
      </c>
      <c r="W22" s="55">
        <v>-1</v>
      </c>
      <c r="X22" s="55">
        <v>-1</v>
      </c>
      <c r="Y22" s="55">
        <v>47.7</v>
      </c>
      <c r="Z22" s="55">
        <v>70.8</v>
      </c>
      <c r="AA22" s="55">
        <v>86.6</v>
      </c>
      <c r="AB22" s="55">
        <v>23.5</v>
      </c>
      <c r="AC22" s="55">
        <v>34.700000000000003</v>
      </c>
      <c r="AD22" s="55">
        <v>42.7</v>
      </c>
      <c r="AE22" s="55">
        <v>70.8</v>
      </c>
      <c r="AF22" s="55">
        <v>86.6</v>
      </c>
      <c r="AG22" s="55">
        <v>34.700000000000003</v>
      </c>
      <c r="AH22" s="55">
        <v>42.7</v>
      </c>
      <c r="AI22" s="55">
        <v>42.7</v>
      </c>
      <c r="AJ22" s="59">
        <v>45095</v>
      </c>
    </row>
    <row r="23" spans="1:36" ht="14.4" x14ac:dyDescent="0.3">
      <c r="A23" s="7" t="s">
        <v>31</v>
      </c>
      <c r="B23" s="11"/>
      <c r="C23" s="11"/>
      <c r="D23" s="11"/>
      <c r="E23" s="11"/>
      <c r="F23" s="8"/>
      <c r="M23" s="57" t="s">
        <v>18</v>
      </c>
      <c r="N23" s="57">
        <v>20026</v>
      </c>
      <c r="O23" s="57" t="s">
        <v>5</v>
      </c>
      <c r="P23" s="58">
        <v>0</v>
      </c>
      <c r="Q23" s="57" t="s">
        <v>6</v>
      </c>
      <c r="R23" s="58">
        <v>0.99998842592592596</v>
      </c>
      <c r="S23" s="57">
        <v>26.8</v>
      </c>
      <c r="T23" s="57">
        <v>39.299999999999997</v>
      </c>
      <c r="U23" s="57">
        <v>47.9</v>
      </c>
      <c r="V23" s="57">
        <v>-1</v>
      </c>
      <c r="W23" s="57">
        <v>-1</v>
      </c>
      <c r="X23" s="57">
        <v>-1</v>
      </c>
      <c r="Y23" s="57">
        <v>54.6</v>
      </c>
      <c r="Z23" s="57">
        <v>79.599999999999994</v>
      </c>
      <c r="AA23" s="57">
        <v>96.8</v>
      </c>
      <c r="AB23" s="57">
        <v>26.8</v>
      </c>
      <c r="AC23" s="57">
        <v>39.299999999999997</v>
      </c>
      <c r="AD23" s="57">
        <v>47.9</v>
      </c>
      <c r="AE23" s="57">
        <v>79.599999999999994</v>
      </c>
      <c r="AF23" s="57">
        <v>96.8</v>
      </c>
      <c r="AG23" s="57">
        <v>39.299999999999997</v>
      </c>
      <c r="AH23" s="57">
        <v>47.9</v>
      </c>
      <c r="AI23" s="57">
        <v>47.9</v>
      </c>
      <c r="AJ23" s="60">
        <v>45113</v>
      </c>
    </row>
    <row r="24" spans="1:36" ht="14.4" x14ac:dyDescent="0.3">
      <c r="A24" s="7" t="s">
        <v>32</v>
      </c>
      <c r="B24" s="11"/>
      <c r="C24" s="11"/>
      <c r="D24" s="11"/>
      <c r="E24" s="11"/>
      <c r="F24" s="8"/>
      <c r="M24" s="55" t="s">
        <v>19</v>
      </c>
      <c r="N24" s="55">
        <v>20028</v>
      </c>
      <c r="O24" s="55" t="s">
        <v>5</v>
      </c>
      <c r="P24" s="56">
        <v>0</v>
      </c>
      <c r="Q24" s="55" t="s">
        <v>6</v>
      </c>
      <c r="R24" s="56">
        <v>0.99998842592592596</v>
      </c>
      <c r="S24" s="55">
        <v>28</v>
      </c>
      <c r="T24" s="55">
        <v>41</v>
      </c>
      <c r="U24" s="55">
        <v>50.1</v>
      </c>
      <c r="V24" s="55">
        <v>-1</v>
      </c>
      <c r="W24" s="55">
        <v>-1</v>
      </c>
      <c r="X24" s="55">
        <v>-1</v>
      </c>
      <c r="Y24" s="55">
        <v>56.7</v>
      </c>
      <c r="Z24" s="55">
        <v>83.2</v>
      </c>
      <c r="AA24" s="55">
        <v>101.3</v>
      </c>
      <c r="AB24" s="55">
        <v>28</v>
      </c>
      <c r="AC24" s="55">
        <v>41</v>
      </c>
      <c r="AD24" s="55">
        <v>50.1</v>
      </c>
      <c r="AE24" s="55">
        <v>83.2</v>
      </c>
      <c r="AF24" s="55">
        <v>101.3</v>
      </c>
      <c r="AG24" s="55">
        <v>41</v>
      </c>
      <c r="AH24" s="55">
        <v>50.1</v>
      </c>
      <c r="AI24" s="55">
        <v>50.1</v>
      </c>
      <c r="AJ24" s="59">
        <v>45063</v>
      </c>
    </row>
    <row r="25" spans="1:36" ht="14.4" x14ac:dyDescent="0.3">
      <c r="A25" s="7" t="s">
        <v>34</v>
      </c>
      <c r="B25" s="11"/>
      <c r="C25" s="11"/>
      <c r="D25" s="11"/>
      <c r="E25" s="11"/>
      <c r="F25" s="8"/>
      <c r="M25" s="57" t="s">
        <v>20</v>
      </c>
      <c r="N25" s="57">
        <v>20030</v>
      </c>
      <c r="O25" s="57" t="s">
        <v>5</v>
      </c>
      <c r="P25" s="58">
        <v>0</v>
      </c>
      <c r="Q25" s="57" t="s">
        <v>6</v>
      </c>
      <c r="R25" s="58">
        <v>0.99998842592592596</v>
      </c>
      <c r="S25" s="57">
        <v>28.5</v>
      </c>
      <c r="T25" s="57">
        <v>42.3</v>
      </c>
      <c r="U25" s="57">
        <v>52.3</v>
      </c>
      <c r="V25" s="57">
        <v>-1</v>
      </c>
      <c r="W25" s="57">
        <v>-1</v>
      </c>
      <c r="X25" s="57">
        <v>-1</v>
      </c>
      <c r="Y25" s="57">
        <v>58.3</v>
      </c>
      <c r="Z25" s="57">
        <v>85.4</v>
      </c>
      <c r="AA25" s="57">
        <v>106.1</v>
      </c>
      <c r="AB25" s="57">
        <v>28.5</v>
      </c>
      <c r="AC25" s="57">
        <v>42.3</v>
      </c>
      <c r="AD25" s="57">
        <v>52.3</v>
      </c>
      <c r="AE25" s="57">
        <v>85.4</v>
      </c>
      <c r="AF25" s="57">
        <v>106.1</v>
      </c>
      <c r="AG25" s="57">
        <v>42.3</v>
      </c>
      <c r="AH25" s="57">
        <v>52.3</v>
      </c>
      <c r="AI25" s="57">
        <v>52.3</v>
      </c>
      <c r="AJ25" s="60">
        <v>45071</v>
      </c>
    </row>
    <row r="26" spans="1:36" ht="14.4" x14ac:dyDescent="0.3">
      <c r="A26" s="7" t="s">
        <v>37</v>
      </c>
      <c r="B26" s="11"/>
      <c r="C26" s="11"/>
      <c r="D26" s="11"/>
      <c r="E26" s="11"/>
      <c r="F26" s="8"/>
      <c r="M26" s="55" t="s">
        <v>21</v>
      </c>
      <c r="N26" s="55">
        <v>20032</v>
      </c>
      <c r="O26" s="55" t="s">
        <v>5</v>
      </c>
      <c r="P26" s="56">
        <v>0</v>
      </c>
      <c r="Q26" s="55" t="s">
        <v>6</v>
      </c>
      <c r="R26" s="56">
        <v>0.99998842592592596</v>
      </c>
      <c r="S26" s="55">
        <v>29.1</v>
      </c>
      <c r="T26" s="55">
        <v>43.3</v>
      </c>
      <c r="U26" s="55">
        <v>53.7</v>
      </c>
      <c r="V26" s="55">
        <v>-1</v>
      </c>
      <c r="W26" s="55">
        <v>-1</v>
      </c>
      <c r="X26" s="55">
        <v>-1</v>
      </c>
      <c r="Y26" s="55">
        <v>59</v>
      </c>
      <c r="Z26" s="55">
        <v>87.6</v>
      </c>
      <c r="AA26" s="55">
        <v>108.8</v>
      </c>
      <c r="AB26" s="55">
        <v>29.1</v>
      </c>
      <c r="AC26" s="55">
        <v>43.3</v>
      </c>
      <c r="AD26" s="55">
        <v>53.7</v>
      </c>
      <c r="AE26" s="55">
        <v>87.6</v>
      </c>
      <c r="AF26" s="55">
        <v>108.8</v>
      </c>
      <c r="AG26" s="55">
        <v>43.3</v>
      </c>
      <c r="AH26" s="55">
        <v>53.7</v>
      </c>
      <c r="AI26" s="55">
        <v>53.7</v>
      </c>
      <c r="AJ26" s="59">
        <v>45085</v>
      </c>
    </row>
    <row r="27" spans="1:36" ht="14.4" x14ac:dyDescent="0.3">
      <c r="A27" s="7" t="s">
        <v>39</v>
      </c>
      <c r="B27" s="11"/>
      <c r="C27" s="11"/>
      <c r="D27" s="11"/>
      <c r="E27" s="11"/>
      <c r="F27" s="8"/>
      <c r="M27" s="57" t="s">
        <v>22</v>
      </c>
      <c r="N27" s="57">
        <v>20034</v>
      </c>
      <c r="O27" s="57" t="s">
        <v>5</v>
      </c>
      <c r="P27" s="58">
        <v>0</v>
      </c>
      <c r="Q27" s="57" t="s">
        <v>6</v>
      </c>
      <c r="R27" s="58">
        <v>0.99998842592592596</v>
      </c>
      <c r="S27" s="57">
        <v>30.7</v>
      </c>
      <c r="T27" s="57">
        <v>45.5</v>
      </c>
      <c r="U27" s="57">
        <v>57</v>
      </c>
      <c r="V27" s="57">
        <v>-1</v>
      </c>
      <c r="W27" s="57">
        <v>-1</v>
      </c>
      <c r="X27" s="57">
        <v>-1</v>
      </c>
      <c r="Y27" s="57">
        <v>62.5</v>
      </c>
      <c r="Z27" s="57">
        <v>92.1</v>
      </c>
      <c r="AA27" s="57">
        <v>115.1</v>
      </c>
      <c r="AB27" s="57">
        <v>30.7</v>
      </c>
      <c r="AC27" s="57">
        <v>45.5</v>
      </c>
      <c r="AD27" s="57">
        <v>57</v>
      </c>
      <c r="AE27" s="57">
        <v>92.1</v>
      </c>
      <c r="AF27" s="57">
        <v>115.1</v>
      </c>
      <c r="AG27" s="57">
        <v>45.5</v>
      </c>
      <c r="AH27" s="57">
        <v>57</v>
      </c>
      <c r="AI27" s="57">
        <v>57</v>
      </c>
      <c r="AJ27" s="60">
        <v>45099</v>
      </c>
    </row>
    <row r="28" spans="1:36" ht="14.4" x14ac:dyDescent="0.3">
      <c r="A28" s="17" t="s">
        <v>82</v>
      </c>
      <c r="B28" s="29">
        <f>MIN(B6:B27)</f>
        <v>0</v>
      </c>
      <c r="C28" s="29">
        <f t="shared" ref="C28:F28" si="0">MIN(C6:C27)</f>
        <v>0</v>
      </c>
      <c r="D28" s="29">
        <f t="shared" si="0"/>
        <v>0</v>
      </c>
      <c r="E28" s="29">
        <f t="shared" si="0"/>
        <v>0</v>
      </c>
      <c r="F28" s="29">
        <f t="shared" si="0"/>
        <v>0</v>
      </c>
      <c r="M28" s="55" t="s">
        <v>23</v>
      </c>
      <c r="N28" s="55">
        <v>20036</v>
      </c>
      <c r="O28" s="55" t="s">
        <v>5</v>
      </c>
      <c r="P28" s="56">
        <v>0</v>
      </c>
      <c r="Q28" s="55" t="s">
        <v>6</v>
      </c>
      <c r="R28" s="56">
        <v>0.99998842592592596</v>
      </c>
      <c r="S28" s="55">
        <v>33.799999999999997</v>
      </c>
      <c r="T28" s="55">
        <v>50.1</v>
      </c>
      <c r="U28" s="55">
        <v>61.4</v>
      </c>
      <c r="V28" s="55">
        <v>-1</v>
      </c>
      <c r="W28" s="55">
        <v>-1</v>
      </c>
      <c r="X28" s="55">
        <v>-1</v>
      </c>
      <c r="Y28" s="55">
        <v>67.900000000000006</v>
      </c>
      <c r="Z28" s="55">
        <v>101.3</v>
      </c>
      <c r="AA28" s="55">
        <v>124.4</v>
      </c>
      <c r="AB28" s="55">
        <v>33.799999999999997</v>
      </c>
      <c r="AC28" s="55">
        <v>50.1</v>
      </c>
      <c r="AD28" s="55">
        <v>61.4</v>
      </c>
      <c r="AE28" s="55">
        <v>101.3</v>
      </c>
      <c r="AF28" s="55">
        <v>124.4</v>
      </c>
      <c r="AG28" s="55">
        <v>50.1</v>
      </c>
      <c r="AH28" s="55">
        <v>61.4</v>
      </c>
      <c r="AI28" s="55">
        <v>61.4</v>
      </c>
      <c r="AJ28" s="59">
        <v>45091</v>
      </c>
    </row>
    <row r="29" spans="1:36" ht="14.4" x14ac:dyDescent="0.3">
      <c r="A29" s="17" t="s">
        <v>83</v>
      </c>
      <c r="B29" s="29">
        <f>MAX(B6:B27)</f>
        <v>0</v>
      </c>
      <c r="C29" s="29">
        <f t="shared" ref="C29:F29" si="1">MAX(C6:C27)</f>
        <v>0</v>
      </c>
      <c r="D29" s="29">
        <f t="shared" si="1"/>
        <v>0</v>
      </c>
      <c r="E29" s="29">
        <f t="shared" si="1"/>
        <v>0</v>
      </c>
      <c r="F29" s="29">
        <f t="shared" si="1"/>
        <v>0</v>
      </c>
      <c r="M29" s="57" t="s">
        <v>24</v>
      </c>
      <c r="N29" s="57">
        <v>20038</v>
      </c>
      <c r="O29" s="57" t="s">
        <v>5</v>
      </c>
      <c r="P29" s="58">
        <v>0</v>
      </c>
      <c r="Q29" s="57" t="s">
        <v>6</v>
      </c>
      <c r="R29" s="58">
        <v>0.99998842592592596</v>
      </c>
      <c r="S29" s="57">
        <v>34.700000000000003</v>
      </c>
      <c r="T29" s="57">
        <v>52.3</v>
      </c>
      <c r="U29" s="57">
        <v>63.6</v>
      </c>
      <c r="V29" s="57">
        <v>-1</v>
      </c>
      <c r="W29" s="57">
        <v>-1</v>
      </c>
      <c r="X29" s="57">
        <v>-1</v>
      </c>
      <c r="Y29" s="57">
        <v>70.8</v>
      </c>
      <c r="Z29" s="57">
        <v>106.1</v>
      </c>
      <c r="AA29" s="57">
        <v>128.6</v>
      </c>
      <c r="AB29" s="57">
        <v>34.700000000000003</v>
      </c>
      <c r="AC29" s="57">
        <v>52.3</v>
      </c>
      <c r="AD29" s="57">
        <v>63.6</v>
      </c>
      <c r="AE29" s="57">
        <v>106.1</v>
      </c>
      <c r="AF29" s="57">
        <v>128.6</v>
      </c>
      <c r="AG29" s="57">
        <v>52.3</v>
      </c>
      <c r="AH29" s="57">
        <v>63.6</v>
      </c>
      <c r="AI29" s="57">
        <v>63.6</v>
      </c>
      <c r="AJ29" s="60">
        <v>45079</v>
      </c>
    </row>
    <row r="30" spans="1:36" ht="14.4" x14ac:dyDescent="0.3">
      <c r="A30" s="17" t="s">
        <v>84</v>
      </c>
      <c r="B30" s="29" t="e">
        <f>AVERAGE(B6:B27)</f>
        <v>#DIV/0!</v>
      </c>
      <c r="C30" s="29" t="e">
        <f t="shared" ref="C30:F30" si="2">AVERAGE(C6:C27)</f>
        <v>#DIV/0!</v>
      </c>
      <c r="D30" s="29" t="e">
        <f t="shared" si="2"/>
        <v>#DIV/0!</v>
      </c>
      <c r="E30" s="29" t="e">
        <f t="shared" si="2"/>
        <v>#DIV/0!</v>
      </c>
      <c r="F30" s="29" t="e">
        <f t="shared" si="2"/>
        <v>#DIV/0!</v>
      </c>
      <c r="M30" s="55" t="s">
        <v>25</v>
      </c>
      <c r="N30" s="55">
        <v>20040</v>
      </c>
      <c r="O30" s="55" t="s">
        <v>5</v>
      </c>
      <c r="P30" s="56">
        <v>0</v>
      </c>
      <c r="Q30" s="55" t="s">
        <v>6</v>
      </c>
      <c r="R30" s="56">
        <v>0.99998842592592596</v>
      </c>
      <c r="S30" s="55">
        <v>36.5</v>
      </c>
      <c r="T30" s="55">
        <v>54.6</v>
      </c>
      <c r="U30" s="55">
        <v>65.900000000000006</v>
      </c>
      <c r="V30" s="55">
        <v>-1</v>
      </c>
      <c r="W30" s="55">
        <v>-1</v>
      </c>
      <c r="X30" s="55">
        <v>-1</v>
      </c>
      <c r="Y30" s="55">
        <v>73.900000000000006</v>
      </c>
      <c r="Z30" s="55">
        <v>110.3</v>
      </c>
      <c r="AA30" s="55">
        <v>133.4</v>
      </c>
      <c r="AB30" s="55">
        <v>36.5</v>
      </c>
      <c r="AC30" s="55">
        <v>54.6</v>
      </c>
      <c r="AD30" s="55">
        <v>65.900000000000006</v>
      </c>
      <c r="AE30" s="55">
        <v>110.3</v>
      </c>
      <c r="AF30" s="55">
        <v>133.4</v>
      </c>
      <c r="AG30" s="55">
        <v>54.6</v>
      </c>
      <c r="AH30" s="55">
        <v>65.900000000000006</v>
      </c>
      <c r="AI30" s="55">
        <v>65.900000000000006</v>
      </c>
      <c r="AJ30" s="59">
        <v>45075</v>
      </c>
    </row>
    <row r="31" spans="1:36" ht="14.4" x14ac:dyDescent="0.3">
      <c r="M31" s="57" t="s">
        <v>41</v>
      </c>
      <c r="N31" s="57">
        <v>20042</v>
      </c>
      <c r="O31" s="57" t="s">
        <v>5</v>
      </c>
      <c r="P31" s="58">
        <v>0</v>
      </c>
      <c r="Q31" s="57" t="s">
        <v>6</v>
      </c>
      <c r="R31" s="58">
        <v>0.99998842592592596</v>
      </c>
      <c r="S31" s="57">
        <v>38</v>
      </c>
      <c r="T31" s="57">
        <v>57.2</v>
      </c>
      <c r="U31" s="57">
        <v>68.7</v>
      </c>
      <c r="V31" s="57">
        <v>-1</v>
      </c>
      <c r="W31" s="57">
        <v>-1</v>
      </c>
      <c r="X31" s="57">
        <v>-1</v>
      </c>
      <c r="Y31" s="57">
        <v>76.599999999999994</v>
      </c>
      <c r="Z31" s="57">
        <v>115.5</v>
      </c>
      <c r="AA31" s="57">
        <v>138.80000000000001</v>
      </c>
      <c r="AB31" s="57">
        <v>38</v>
      </c>
      <c r="AC31" s="57">
        <v>57.2</v>
      </c>
      <c r="AD31" s="57">
        <v>68.7</v>
      </c>
      <c r="AE31" s="57">
        <v>115.5</v>
      </c>
      <c r="AF31" s="57">
        <v>138.80000000000001</v>
      </c>
      <c r="AG31" s="57">
        <v>57.2</v>
      </c>
      <c r="AH31" s="57">
        <v>68.7</v>
      </c>
      <c r="AI31" s="57">
        <v>68.7</v>
      </c>
      <c r="AJ31" s="60">
        <v>45110</v>
      </c>
    </row>
    <row r="32" spans="1:36" ht="14.4" x14ac:dyDescent="0.3">
      <c r="M32" s="55" t="s">
        <v>26</v>
      </c>
      <c r="N32" s="55">
        <v>20044</v>
      </c>
      <c r="O32" s="55" t="s">
        <v>5</v>
      </c>
      <c r="P32" s="56">
        <v>0</v>
      </c>
      <c r="Q32" s="55" t="s">
        <v>6</v>
      </c>
      <c r="R32" s="56">
        <v>0.99998842592592596</v>
      </c>
      <c r="S32" s="55">
        <v>38.700000000000003</v>
      </c>
      <c r="T32" s="55">
        <v>59.2</v>
      </c>
      <c r="U32" s="55">
        <v>70.400000000000006</v>
      </c>
      <c r="V32" s="55">
        <v>-1</v>
      </c>
      <c r="W32" s="55">
        <v>-1</v>
      </c>
      <c r="X32" s="55">
        <v>-1</v>
      </c>
      <c r="Y32" s="55">
        <v>78.599999999999994</v>
      </c>
      <c r="Z32" s="55">
        <v>119.4</v>
      </c>
      <c r="AA32" s="55">
        <v>142.5</v>
      </c>
      <c r="AB32" s="55">
        <v>38.700000000000003</v>
      </c>
      <c r="AC32" s="55">
        <v>59.2</v>
      </c>
      <c r="AD32" s="55">
        <v>70.400000000000006</v>
      </c>
      <c r="AE32" s="55">
        <v>119.4</v>
      </c>
      <c r="AF32" s="55">
        <v>142.5</v>
      </c>
      <c r="AG32" s="55">
        <v>59.2</v>
      </c>
      <c r="AH32" s="55">
        <v>70.400000000000006</v>
      </c>
      <c r="AI32" s="55">
        <v>70.400000000000006</v>
      </c>
      <c r="AJ32" s="59">
        <v>45114</v>
      </c>
    </row>
    <row r="33" spans="13:36" ht="14.4" x14ac:dyDescent="0.3">
      <c r="M33" s="57" t="s">
        <v>27</v>
      </c>
      <c r="N33" s="57">
        <v>20046</v>
      </c>
      <c r="O33" s="57" t="s">
        <v>5</v>
      </c>
      <c r="P33" s="58">
        <v>0</v>
      </c>
      <c r="Q33" s="57" t="s">
        <v>6</v>
      </c>
      <c r="R33" s="58">
        <v>0.99998842592592596</v>
      </c>
      <c r="S33" s="57">
        <v>40.1</v>
      </c>
      <c r="T33" s="57">
        <v>59.2</v>
      </c>
      <c r="U33" s="57">
        <v>72.8</v>
      </c>
      <c r="V33" s="57">
        <v>-1</v>
      </c>
      <c r="W33" s="57">
        <v>-1</v>
      </c>
      <c r="X33" s="57">
        <v>-1</v>
      </c>
      <c r="Y33" s="57">
        <v>80.8</v>
      </c>
      <c r="Z33" s="57">
        <v>119.4</v>
      </c>
      <c r="AA33" s="57">
        <v>146.80000000000001</v>
      </c>
      <c r="AB33" s="57">
        <v>40.1</v>
      </c>
      <c r="AC33" s="57">
        <v>59.2</v>
      </c>
      <c r="AD33" s="57">
        <v>72.8</v>
      </c>
      <c r="AE33" s="57">
        <v>119.4</v>
      </c>
      <c r="AF33" s="57">
        <v>146.80000000000001</v>
      </c>
      <c r="AG33" s="57">
        <v>59.2</v>
      </c>
      <c r="AH33" s="57">
        <v>72.8</v>
      </c>
      <c r="AI33" s="57">
        <v>72.8</v>
      </c>
      <c r="AJ33" s="60">
        <v>45118</v>
      </c>
    </row>
    <row r="34" spans="13:36" ht="14.4" x14ac:dyDescent="0.3">
      <c r="M34" s="55" t="s">
        <v>28</v>
      </c>
      <c r="N34" s="55">
        <v>20048</v>
      </c>
      <c r="O34" s="55" t="s">
        <v>5</v>
      </c>
      <c r="P34" s="56">
        <v>0</v>
      </c>
      <c r="Q34" s="55" t="s">
        <v>6</v>
      </c>
      <c r="R34" s="56">
        <v>0.99998842592592596</v>
      </c>
      <c r="S34" s="55">
        <v>0</v>
      </c>
      <c r="T34" s="55">
        <v>0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5">
        <v>0</v>
      </c>
      <c r="AC34" s="55">
        <v>0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9">
        <v>45142</v>
      </c>
    </row>
    <row r="35" spans="13:36" ht="14.4" x14ac:dyDescent="0.3">
      <c r="M35" s="57" t="s">
        <v>57</v>
      </c>
      <c r="N35" s="57">
        <v>20050</v>
      </c>
      <c r="O35" s="57" t="s">
        <v>5</v>
      </c>
      <c r="P35" s="58">
        <v>0</v>
      </c>
      <c r="Q35" s="57" t="s">
        <v>6</v>
      </c>
      <c r="R35" s="58">
        <v>0.99998842592592596</v>
      </c>
      <c r="S35" s="57">
        <v>41.3</v>
      </c>
      <c r="T35" s="57">
        <v>61.4</v>
      </c>
      <c r="U35" s="57">
        <v>75</v>
      </c>
      <c r="V35" s="57">
        <v>-1</v>
      </c>
      <c r="W35" s="57">
        <v>-1</v>
      </c>
      <c r="X35" s="57">
        <v>-1</v>
      </c>
      <c r="Y35" s="57">
        <v>83.5</v>
      </c>
      <c r="Z35" s="57">
        <v>124.4</v>
      </c>
      <c r="AA35" s="57">
        <v>151.5</v>
      </c>
      <c r="AB35" s="57">
        <v>41.3</v>
      </c>
      <c r="AC35" s="57">
        <v>61.4</v>
      </c>
      <c r="AD35" s="57">
        <v>75</v>
      </c>
      <c r="AE35" s="57">
        <v>124.4</v>
      </c>
      <c r="AF35" s="57">
        <v>151.5</v>
      </c>
      <c r="AG35" s="57">
        <v>61.4</v>
      </c>
      <c r="AH35" s="57">
        <v>75</v>
      </c>
      <c r="AI35" s="57">
        <v>75</v>
      </c>
      <c r="AJ35" s="60">
        <v>45146</v>
      </c>
    </row>
    <row r="36" spans="13:36" ht="14.4" x14ac:dyDescent="0.3">
      <c r="M36" s="55" t="s">
        <v>29</v>
      </c>
      <c r="N36" s="55">
        <v>20052</v>
      </c>
      <c r="O36" s="55" t="s">
        <v>5</v>
      </c>
      <c r="P36" s="56">
        <v>0</v>
      </c>
      <c r="Q36" s="55" t="s">
        <v>6</v>
      </c>
      <c r="R36" s="56">
        <v>0.99998842592592596</v>
      </c>
      <c r="S36" s="55">
        <v>42.3</v>
      </c>
      <c r="T36" s="55">
        <v>61.4</v>
      </c>
      <c r="U36" s="55">
        <v>75</v>
      </c>
      <c r="V36" s="55">
        <v>-1</v>
      </c>
      <c r="W36" s="55">
        <v>-1</v>
      </c>
      <c r="X36" s="55">
        <v>-1</v>
      </c>
      <c r="Y36" s="55">
        <v>85.4</v>
      </c>
      <c r="Z36" s="55">
        <v>124.4</v>
      </c>
      <c r="AA36" s="55">
        <v>151.5</v>
      </c>
      <c r="AB36" s="55">
        <v>42.3</v>
      </c>
      <c r="AC36" s="55">
        <v>61.4</v>
      </c>
      <c r="AD36" s="55">
        <v>75</v>
      </c>
      <c r="AE36" s="55">
        <v>124.4</v>
      </c>
      <c r="AF36" s="55">
        <v>151.5</v>
      </c>
      <c r="AG36" s="55">
        <v>61.4</v>
      </c>
      <c r="AH36" s="55">
        <v>75</v>
      </c>
      <c r="AI36" s="55">
        <v>75</v>
      </c>
      <c r="AJ36" s="59">
        <v>45108</v>
      </c>
    </row>
    <row r="37" spans="13:36" ht="14.4" x14ac:dyDescent="0.3">
      <c r="M37" s="57" t="s">
        <v>30</v>
      </c>
      <c r="N37" s="57">
        <v>20054</v>
      </c>
      <c r="O37" s="57" t="s">
        <v>5</v>
      </c>
      <c r="P37" s="58">
        <v>0</v>
      </c>
      <c r="Q37" s="57" t="s">
        <v>6</v>
      </c>
      <c r="R37" s="58">
        <v>0.99998842592592596</v>
      </c>
      <c r="S37" s="57">
        <v>43.3</v>
      </c>
      <c r="T37" s="57">
        <v>63.6</v>
      </c>
      <c r="U37" s="57">
        <v>77.2</v>
      </c>
      <c r="V37" s="57">
        <v>-1</v>
      </c>
      <c r="W37" s="57">
        <v>-1</v>
      </c>
      <c r="X37" s="57">
        <v>-1</v>
      </c>
      <c r="Y37" s="57">
        <v>87.6</v>
      </c>
      <c r="Z37" s="57">
        <v>128.6</v>
      </c>
      <c r="AA37" s="57">
        <v>156.4</v>
      </c>
      <c r="AB37" s="57">
        <v>43.3</v>
      </c>
      <c r="AC37" s="57">
        <v>63.6</v>
      </c>
      <c r="AD37" s="57">
        <v>77.2</v>
      </c>
      <c r="AE37" s="57">
        <v>128.6</v>
      </c>
      <c r="AF37" s="57">
        <v>156.4</v>
      </c>
      <c r="AG37" s="57">
        <v>63.6</v>
      </c>
      <c r="AH37" s="57">
        <v>77.2</v>
      </c>
      <c r="AI37" s="57">
        <v>77.2</v>
      </c>
      <c r="AJ37" s="60">
        <v>45153</v>
      </c>
    </row>
    <row r="38" spans="13:36" ht="14.4" x14ac:dyDescent="0.3">
      <c r="M38" s="55" t="s">
        <v>58</v>
      </c>
      <c r="N38" s="55">
        <v>20058</v>
      </c>
      <c r="O38" s="55" t="s">
        <v>5</v>
      </c>
      <c r="P38" s="56">
        <v>0</v>
      </c>
      <c r="Q38" s="55" t="s">
        <v>6</v>
      </c>
      <c r="R38" s="56">
        <v>0.99998842592592596</v>
      </c>
      <c r="S38" s="55">
        <v>-1</v>
      </c>
      <c r="T38" s="55">
        <v>-1</v>
      </c>
      <c r="U38" s="55">
        <v>-1</v>
      </c>
      <c r="V38" s="55">
        <v>-1</v>
      </c>
      <c r="W38" s="55">
        <v>-1</v>
      </c>
      <c r="X38" s="55">
        <v>-1</v>
      </c>
      <c r="Y38" s="55">
        <v>-1</v>
      </c>
      <c r="Z38" s="55">
        <v>-1</v>
      </c>
      <c r="AA38" s="55">
        <v>-1</v>
      </c>
      <c r="AB38" s="55">
        <v>-1</v>
      </c>
      <c r="AC38" s="55">
        <v>-1</v>
      </c>
      <c r="AD38" s="55">
        <v>-1</v>
      </c>
      <c r="AE38" s="55">
        <v>-1</v>
      </c>
      <c r="AF38" s="55">
        <v>-1</v>
      </c>
      <c r="AG38" s="55">
        <v>-1</v>
      </c>
      <c r="AH38" s="55">
        <v>-1</v>
      </c>
      <c r="AI38" s="55">
        <v>-1</v>
      </c>
      <c r="AJ38" s="59">
        <v>45150</v>
      </c>
    </row>
    <row r="39" spans="13:36" ht="14.4" x14ac:dyDescent="0.3">
      <c r="M39" s="57" t="s">
        <v>31</v>
      </c>
      <c r="N39" s="57">
        <v>20060</v>
      </c>
      <c r="O39" s="57" t="s">
        <v>5</v>
      </c>
      <c r="P39" s="58">
        <v>0</v>
      </c>
      <c r="Q39" s="57" t="s">
        <v>6</v>
      </c>
      <c r="R39" s="58">
        <v>0.99998842592592596</v>
      </c>
      <c r="S39" s="57">
        <v>45</v>
      </c>
      <c r="T39" s="57">
        <v>65.900000000000006</v>
      </c>
      <c r="U39" s="57">
        <v>79.400000000000006</v>
      </c>
      <c r="V39" s="57">
        <v>-1</v>
      </c>
      <c r="W39" s="57">
        <v>-1</v>
      </c>
      <c r="X39" s="57">
        <v>-1</v>
      </c>
      <c r="Y39" s="57">
        <v>90.9</v>
      </c>
      <c r="Z39" s="57">
        <v>133.4</v>
      </c>
      <c r="AA39" s="57">
        <v>160.9</v>
      </c>
      <c r="AB39" s="57">
        <v>45</v>
      </c>
      <c r="AC39" s="57">
        <v>65.900000000000006</v>
      </c>
      <c r="AD39" s="57">
        <v>79.400000000000006</v>
      </c>
      <c r="AE39" s="57">
        <v>133.4</v>
      </c>
      <c r="AF39" s="57">
        <v>160.9</v>
      </c>
      <c r="AG39" s="57">
        <v>65.900000000000006</v>
      </c>
      <c r="AH39" s="57">
        <v>79.400000000000006</v>
      </c>
      <c r="AI39" s="57">
        <v>79.400000000000006</v>
      </c>
      <c r="AJ39" s="60">
        <v>45157</v>
      </c>
    </row>
    <row r="40" spans="13:36" ht="14.4" x14ac:dyDescent="0.3">
      <c r="M40" s="55" t="s">
        <v>32</v>
      </c>
      <c r="N40" s="55">
        <v>21000</v>
      </c>
      <c r="O40" s="55" t="s">
        <v>5</v>
      </c>
      <c r="P40" s="56">
        <v>0</v>
      </c>
      <c r="Q40" s="55" t="s">
        <v>6</v>
      </c>
      <c r="R40" s="56">
        <v>0.99998842592592596</v>
      </c>
      <c r="S40" s="55">
        <v>-1</v>
      </c>
      <c r="T40" s="55">
        <v>-1</v>
      </c>
      <c r="U40" s="55">
        <v>-1</v>
      </c>
      <c r="V40" s="55">
        <v>-1</v>
      </c>
      <c r="W40" s="55">
        <v>-1</v>
      </c>
      <c r="X40" s="55">
        <v>-1</v>
      </c>
      <c r="Y40" s="55">
        <v>-1</v>
      </c>
      <c r="Z40" s="55">
        <v>-1</v>
      </c>
      <c r="AA40" s="55">
        <v>-1</v>
      </c>
      <c r="AB40" s="55">
        <v>-1</v>
      </c>
      <c r="AC40" s="55">
        <v>-1</v>
      </c>
      <c r="AD40" s="55">
        <v>-1</v>
      </c>
      <c r="AE40" s="55">
        <v>-1</v>
      </c>
      <c r="AF40" s="55">
        <v>-1</v>
      </c>
      <c r="AG40" s="55">
        <v>-1</v>
      </c>
      <c r="AH40" s="55">
        <v>-1</v>
      </c>
      <c r="AI40" s="55">
        <v>-1</v>
      </c>
      <c r="AJ40" s="59">
        <v>45143</v>
      </c>
    </row>
    <row r="41" spans="13:36" ht="14.4" x14ac:dyDescent="0.3">
      <c r="M41" s="57" t="s">
        <v>33</v>
      </c>
      <c r="N41" s="57">
        <v>21002</v>
      </c>
      <c r="O41" s="57" t="s">
        <v>5</v>
      </c>
      <c r="P41" s="58">
        <v>0</v>
      </c>
      <c r="Q41" s="57" t="s">
        <v>6</v>
      </c>
      <c r="R41" s="58">
        <v>0.99998842592592596</v>
      </c>
      <c r="S41" s="57">
        <v>41.5</v>
      </c>
      <c r="T41" s="57">
        <v>61.4</v>
      </c>
      <c r="U41" s="57">
        <v>75</v>
      </c>
      <c r="V41" s="57">
        <v>-1</v>
      </c>
      <c r="W41" s="57">
        <v>-1</v>
      </c>
      <c r="X41" s="57">
        <v>-1</v>
      </c>
      <c r="Y41" s="57">
        <v>84.6</v>
      </c>
      <c r="Z41" s="57">
        <v>124.4</v>
      </c>
      <c r="AA41" s="57">
        <v>151.5</v>
      </c>
      <c r="AB41" s="57">
        <v>41.5</v>
      </c>
      <c r="AC41" s="57">
        <v>61.4</v>
      </c>
      <c r="AD41" s="57">
        <v>75</v>
      </c>
      <c r="AE41" s="57">
        <v>124.4</v>
      </c>
      <c r="AF41" s="57">
        <v>151.5</v>
      </c>
      <c r="AG41" s="57">
        <v>61.4</v>
      </c>
      <c r="AH41" s="57">
        <v>75</v>
      </c>
      <c r="AI41" s="57">
        <v>75</v>
      </c>
      <c r="AJ41" s="60">
        <v>45166</v>
      </c>
    </row>
    <row r="42" spans="13:36" ht="14.4" x14ac:dyDescent="0.3">
      <c r="M42" s="55" t="s">
        <v>34</v>
      </c>
      <c r="N42" s="55">
        <v>21004</v>
      </c>
      <c r="O42" s="55" t="s">
        <v>5</v>
      </c>
      <c r="P42" s="56">
        <v>0</v>
      </c>
      <c r="Q42" s="55" t="s">
        <v>6</v>
      </c>
      <c r="R42" s="56">
        <v>0.99998842592592596</v>
      </c>
      <c r="S42" s="55">
        <v>43.3</v>
      </c>
      <c r="T42" s="55">
        <v>63.6</v>
      </c>
      <c r="U42" s="55">
        <v>79.400000000000006</v>
      </c>
      <c r="V42" s="55">
        <v>-1</v>
      </c>
      <c r="W42" s="55">
        <v>-1</v>
      </c>
      <c r="X42" s="55">
        <v>-1</v>
      </c>
      <c r="Y42" s="55">
        <v>87.6</v>
      </c>
      <c r="Z42" s="55">
        <v>128.6</v>
      </c>
      <c r="AA42" s="55">
        <v>160.9</v>
      </c>
      <c r="AB42" s="55">
        <v>43.3</v>
      </c>
      <c r="AC42" s="55">
        <v>63.6</v>
      </c>
      <c r="AD42" s="55">
        <v>79.400000000000006</v>
      </c>
      <c r="AE42" s="55">
        <v>128.6</v>
      </c>
      <c r="AF42" s="55">
        <v>160.9</v>
      </c>
      <c r="AG42" s="55">
        <v>63.6</v>
      </c>
      <c r="AH42" s="55">
        <v>79.400000000000006</v>
      </c>
      <c r="AI42" s="55">
        <v>79.400000000000006</v>
      </c>
      <c r="AJ42" s="59">
        <v>45162</v>
      </c>
    </row>
    <row r="43" spans="13:36" ht="14.4" x14ac:dyDescent="0.3">
      <c r="M43" s="57" t="s">
        <v>35</v>
      </c>
      <c r="N43" s="57">
        <v>21006</v>
      </c>
      <c r="O43" s="57" t="s">
        <v>5</v>
      </c>
      <c r="P43" s="58">
        <v>0</v>
      </c>
      <c r="Q43" s="57" t="s">
        <v>6</v>
      </c>
      <c r="R43" s="58">
        <v>0.99998842592592596</v>
      </c>
      <c r="S43" s="57">
        <v>44.5</v>
      </c>
      <c r="T43" s="57">
        <v>65.900000000000006</v>
      </c>
      <c r="U43" s="57">
        <v>81.8</v>
      </c>
      <c r="V43" s="57">
        <v>-1</v>
      </c>
      <c r="W43" s="57">
        <v>-1</v>
      </c>
      <c r="X43" s="57">
        <v>-1</v>
      </c>
      <c r="Y43" s="57">
        <v>89.9</v>
      </c>
      <c r="Z43" s="57">
        <v>133.4</v>
      </c>
      <c r="AA43" s="57">
        <v>165.3</v>
      </c>
      <c r="AB43" s="57">
        <v>44.5</v>
      </c>
      <c r="AC43" s="57">
        <v>65.900000000000006</v>
      </c>
      <c r="AD43" s="57">
        <v>81.8</v>
      </c>
      <c r="AE43" s="57">
        <v>133.4</v>
      </c>
      <c r="AF43" s="57">
        <v>165.3</v>
      </c>
      <c r="AG43" s="57">
        <v>65.900000000000006</v>
      </c>
      <c r="AH43" s="57">
        <v>81.8</v>
      </c>
      <c r="AI43" s="57">
        <v>81.8</v>
      </c>
      <c r="AJ43" s="60">
        <v>45160</v>
      </c>
    </row>
    <row r="44" spans="13:36" ht="14.4" x14ac:dyDescent="0.3">
      <c r="M44" s="55" t="s">
        <v>36</v>
      </c>
      <c r="N44" s="55">
        <v>21008</v>
      </c>
      <c r="O44" s="55" t="s">
        <v>5</v>
      </c>
      <c r="P44" s="56">
        <v>0</v>
      </c>
      <c r="Q44" s="55" t="s">
        <v>6</v>
      </c>
      <c r="R44" s="56">
        <v>0.99998842592592596</v>
      </c>
      <c r="S44" s="55">
        <v>47.3</v>
      </c>
      <c r="T44" s="55">
        <v>70.400000000000006</v>
      </c>
      <c r="U44" s="55">
        <v>86.4</v>
      </c>
      <c r="V44" s="55">
        <v>-1</v>
      </c>
      <c r="W44" s="55">
        <v>-1</v>
      </c>
      <c r="X44" s="55">
        <v>-1</v>
      </c>
      <c r="Y44" s="55">
        <v>95.6</v>
      </c>
      <c r="Z44" s="55">
        <v>142.5</v>
      </c>
      <c r="AA44" s="55">
        <v>174.2</v>
      </c>
      <c r="AB44" s="55">
        <v>47.3</v>
      </c>
      <c r="AC44" s="55">
        <v>70.400000000000006</v>
      </c>
      <c r="AD44" s="55">
        <v>86.4</v>
      </c>
      <c r="AE44" s="55">
        <v>142.5</v>
      </c>
      <c r="AF44" s="55">
        <v>174.2</v>
      </c>
      <c r="AG44" s="55">
        <v>70.400000000000006</v>
      </c>
      <c r="AH44" s="55">
        <v>86.4</v>
      </c>
      <c r="AI44" s="55">
        <v>86.4</v>
      </c>
      <c r="AJ44" s="59">
        <v>45179</v>
      </c>
    </row>
    <row r="45" spans="13:36" ht="14.4" x14ac:dyDescent="0.3">
      <c r="M45" s="57" t="s">
        <v>42</v>
      </c>
      <c r="N45" s="57">
        <v>21010</v>
      </c>
      <c r="O45" s="57" t="s">
        <v>5</v>
      </c>
      <c r="P45" s="58">
        <v>0</v>
      </c>
      <c r="Q45" s="57" t="s">
        <v>6</v>
      </c>
      <c r="R45" s="58">
        <v>0.99998842592592596</v>
      </c>
      <c r="S45" s="57">
        <v>48.3</v>
      </c>
      <c r="T45" s="57">
        <v>72</v>
      </c>
      <c r="U45" s="57">
        <v>89</v>
      </c>
      <c r="V45" s="57">
        <v>-1</v>
      </c>
      <c r="W45" s="57">
        <v>-1</v>
      </c>
      <c r="X45" s="57">
        <v>-1</v>
      </c>
      <c r="Y45" s="57">
        <v>97.9</v>
      </c>
      <c r="Z45" s="57">
        <v>145.5</v>
      </c>
      <c r="AA45" s="57">
        <v>179.8</v>
      </c>
      <c r="AB45" s="57">
        <v>48.3</v>
      </c>
      <c r="AC45" s="57">
        <v>72</v>
      </c>
      <c r="AD45" s="57">
        <v>89</v>
      </c>
      <c r="AE45" s="57">
        <v>145.5</v>
      </c>
      <c r="AF45" s="57">
        <v>179.8</v>
      </c>
      <c r="AG45" s="57">
        <v>72</v>
      </c>
      <c r="AH45" s="57">
        <v>89</v>
      </c>
      <c r="AI45" s="57">
        <v>89</v>
      </c>
      <c r="AJ45" s="60">
        <v>45157</v>
      </c>
    </row>
    <row r="46" spans="13:36" ht="14.4" x14ac:dyDescent="0.3">
      <c r="M46" s="55" t="s">
        <v>37</v>
      </c>
      <c r="N46" s="55">
        <v>21012</v>
      </c>
      <c r="O46" s="55" t="s">
        <v>5</v>
      </c>
      <c r="P46" s="56">
        <v>0</v>
      </c>
      <c r="Q46" s="55" t="s">
        <v>6</v>
      </c>
      <c r="R46" s="56">
        <v>0.99998842592592596</v>
      </c>
      <c r="S46" s="55">
        <v>49.1</v>
      </c>
      <c r="T46" s="55">
        <v>72.8</v>
      </c>
      <c r="U46" s="55">
        <v>90.9</v>
      </c>
      <c r="V46" s="55">
        <v>-1</v>
      </c>
      <c r="W46" s="55">
        <v>-1</v>
      </c>
      <c r="X46" s="55">
        <v>-1</v>
      </c>
      <c r="Y46" s="55">
        <v>99.5</v>
      </c>
      <c r="Z46" s="55">
        <v>146.80000000000001</v>
      </c>
      <c r="AA46" s="55">
        <v>183.5</v>
      </c>
      <c r="AB46" s="55">
        <v>49.1</v>
      </c>
      <c r="AC46" s="55">
        <v>72.8</v>
      </c>
      <c r="AD46" s="55">
        <v>90.9</v>
      </c>
      <c r="AE46" s="55">
        <v>146.80000000000001</v>
      </c>
      <c r="AF46" s="55">
        <v>183.5</v>
      </c>
      <c r="AG46" s="55">
        <v>72.8</v>
      </c>
      <c r="AH46" s="55">
        <v>90.9</v>
      </c>
      <c r="AI46" s="55">
        <v>90.9</v>
      </c>
      <c r="AJ46" s="59">
        <v>45143</v>
      </c>
    </row>
    <row r="47" spans="13:36" ht="14.4" x14ac:dyDescent="0.3">
      <c r="M47" s="57" t="s">
        <v>38</v>
      </c>
      <c r="N47" s="57">
        <v>21014</v>
      </c>
      <c r="O47" s="57" t="s">
        <v>5</v>
      </c>
      <c r="P47" s="58">
        <v>0</v>
      </c>
      <c r="Q47" s="57" t="s">
        <v>6</v>
      </c>
      <c r="R47" s="58">
        <v>0.99998842592592596</v>
      </c>
      <c r="S47" s="57">
        <v>50.6</v>
      </c>
      <c r="T47" s="57">
        <v>75</v>
      </c>
      <c r="U47" s="57">
        <v>93.1</v>
      </c>
      <c r="V47" s="57">
        <v>-1</v>
      </c>
      <c r="W47" s="57">
        <v>-1</v>
      </c>
      <c r="X47" s="57">
        <v>-1</v>
      </c>
      <c r="Y47" s="57">
        <v>102.6</v>
      </c>
      <c r="Z47" s="57">
        <v>151.5</v>
      </c>
      <c r="AA47" s="57">
        <v>188.1</v>
      </c>
      <c r="AB47" s="57">
        <v>50.6</v>
      </c>
      <c r="AC47" s="57">
        <v>75</v>
      </c>
      <c r="AD47" s="57">
        <v>93.1</v>
      </c>
      <c r="AE47" s="57">
        <v>151.5</v>
      </c>
      <c r="AF47" s="57">
        <v>188.1</v>
      </c>
      <c r="AG47" s="57">
        <v>75</v>
      </c>
      <c r="AH47" s="57">
        <v>93.1</v>
      </c>
      <c r="AI47" s="57">
        <v>93.1</v>
      </c>
      <c r="AJ47" s="60">
        <v>45166</v>
      </c>
    </row>
    <row r="48" spans="13:36" ht="14.4" x14ac:dyDescent="0.3">
      <c r="M48" s="64" t="s">
        <v>39</v>
      </c>
      <c r="N48" s="64">
        <v>21016</v>
      </c>
      <c r="O48" s="64" t="s">
        <v>5</v>
      </c>
      <c r="P48" s="65">
        <v>0</v>
      </c>
      <c r="Q48" s="64" t="s">
        <v>6</v>
      </c>
      <c r="R48" s="65">
        <v>0.99998842592592596</v>
      </c>
      <c r="S48" s="64">
        <v>51.8</v>
      </c>
      <c r="T48" s="64">
        <v>77.2</v>
      </c>
      <c r="U48" s="64">
        <v>93.1</v>
      </c>
      <c r="V48" s="64">
        <v>-1</v>
      </c>
      <c r="W48" s="64">
        <v>-1</v>
      </c>
      <c r="X48" s="64">
        <v>-1</v>
      </c>
      <c r="Y48" s="64">
        <v>104.5</v>
      </c>
      <c r="Z48" s="64">
        <v>156.4</v>
      </c>
      <c r="AA48" s="64">
        <v>188.1</v>
      </c>
      <c r="AB48" s="64">
        <v>51.8</v>
      </c>
      <c r="AC48" s="64">
        <v>77.2</v>
      </c>
      <c r="AD48" s="64">
        <v>93.1</v>
      </c>
      <c r="AE48" s="64">
        <v>156.4</v>
      </c>
      <c r="AF48" s="64">
        <v>188.1</v>
      </c>
      <c r="AG48" s="64">
        <v>77.2</v>
      </c>
      <c r="AH48" s="64">
        <v>93.1</v>
      </c>
      <c r="AI48" s="64">
        <v>93.1</v>
      </c>
      <c r="AJ48" s="66">
        <v>45162</v>
      </c>
    </row>
  </sheetData>
  <conditionalFormatting sqref="M10:M48">
    <cfRule type="duplicateValues" dxfId="61" priority="8"/>
  </conditionalFormatting>
  <conditionalFormatting sqref="N10:N48">
    <cfRule type="duplicateValues" dxfId="60" priority="7"/>
  </conditionalFormatting>
  <conditionalFormatting sqref="M10:AJ48">
    <cfRule type="cellIs" dxfId="59" priority="5" operator="equal">
      <formula>0</formula>
    </cfRule>
    <cfRule type="cellIs" dxfId="58" priority="6" operator="equal">
      <formula>-1</formula>
    </cfRule>
  </conditionalFormatting>
  <conditionalFormatting sqref="M9">
    <cfRule type="duplicateValues" dxfId="57" priority="4"/>
  </conditionalFormatting>
  <conditionalFormatting sqref="N9">
    <cfRule type="duplicateValues" dxfId="56" priority="3"/>
  </conditionalFormatting>
  <conditionalFormatting sqref="M9:AJ9">
    <cfRule type="cellIs" dxfId="55" priority="1" operator="equal">
      <formula>0</formula>
    </cfRule>
    <cfRule type="cellIs" dxfId="54" priority="2" operator="equal">
      <formula>-1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6" zoomScaleNormal="100" workbookViewId="0">
      <selection activeCell="E60" sqref="E60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1" t="s">
        <v>53</v>
      </c>
      <c r="B5" s="38"/>
    </row>
    <row r="6" spans="1:10" ht="18" x14ac:dyDescent="0.35">
      <c r="A6" s="41" t="s">
        <v>152</v>
      </c>
      <c r="B6" s="38"/>
    </row>
    <row r="7" spans="1:10" ht="18" x14ac:dyDescent="0.35">
      <c r="A7" s="41"/>
      <c r="B7" s="38"/>
    </row>
    <row r="9" spans="1:10" ht="23.4" x14ac:dyDescent="0.45">
      <c r="A9" s="16" t="s">
        <v>164</v>
      </c>
      <c r="I9" s="2"/>
      <c r="J9" s="2"/>
    </row>
    <row r="10" spans="1:10" x14ac:dyDescent="0.3">
      <c r="A10" s="31" t="s">
        <v>101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6" t="s">
        <v>161</v>
      </c>
    </row>
    <row r="15" spans="1:10" x14ac:dyDescent="0.3">
      <c r="A15" s="13" t="s">
        <v>102</v>
      </c>
      <c r="B15" s="15" t="s">
        <v>49</v>
      </c>
      <c r="C15" s="14" t="s">
        <v>50</v>
      </c>
      <c r="D15" s="15" t="s">
        <v>51</v>
      </c>
      <c r="E15" s="14" t="s">
        <v>52</v>
      </c>
      <c r="F15" s="15" t="s">
        <v>54</v>
      </c>
    </row>
    <row r="16" spans="1:10" x14ac:dyDescent="0.3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148</v>
      </c>
      <c r="B44" s="11">
        <v>20056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9" t="s">
        <v>119</v>
      </c>
      <c r="B54" s="11">
        <v>21016</v>
      </c>
      <c r="C54" s="1" t="s">
        <v>5</v>
      </c>
      <c r="D54" s="11">
        <v>0</v>
      </c>
      <c r="E54" s="1" t="s">
        <v>6</v>
      </c>
      <c r="F54" s="11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J22"/>
  <sheetViews>
    <sheetView topLeftCell="A6" zoomScaleNormal="100" workbookViewId="0">
      <selection activeCell="I13" sqref="I1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0" ht="21" x14ac:dyDescent="0.4">
      <c r="A1" s="40" t="s">
        <v>85</v>
      </c>
      <c r="B1" s="39" t="s">
        <v>166</v>
      </c>
    </row>
    <row r="2" spans="1:10" ht="18" x14ac:dyDescent="0.35">
      <c r="B2" s="38" t="s">
        <v>165</v>
      </c>
    </row>
    <row r="5" spans="1:10" ht="14.4" x14ac:dyDescent="0.3">
      <c r="B5" s="1" t="s">
        <v>150</v>
      </c>
    </row>
    <row r="6" spans="1:10" ht="14.4" x14ac:dyDescent="0.3">
      <c r="A6" s="3" t="s">
        <v>53</v>
      </c>
      <c r="B6" s="1" cm="1">
        <f t="array" ref="B6">SUM(IF(ISNUMBER(C12:C21), C12:C21, 20))</f>
        <v>600</v>
      </c>
    </row>
    <row r="7" spans="1:10" ht="15" x14ac:dyDescent="0.35">
      <c r="A7" s="3" t="s">
        <v>152</v>
      </c>
      <c r="B7" s="43" t="s">
        <v>176</v>
      </c>
      <c r="C7" s="44"/>
      <c r="D7" s="44"/>
      <c r="E7" s="44"/>
      <c r="F7" s="44"/>
      <c r="G7" s="44"/>
      <c r="H7" s="44"/>
      <c r="I7" s="44"/>
      <c r="J7" s="44"/>
    </row>
    <row r="10" spans="1:10" ht="23.4" x14ac:dyDescent="0.45">
      <c r="A10" s="16" t="s">
        <v>161</v>
      </c>
    </row>
    <row r="11" spans="1:10" ht="14.4" x14ac:dyDescent="0.3">
      <c r="A11" s="30" t="s">
        <v>86</v>
      </c>
      <c r="B11" s="15" t="s">
        <v>87</v>
      </c>
      <c r="C11" s="15" t="s">
        <v>88</v>
      </c>
    </row>
    <row r="12" spans="1:10" ht="14.4" x14ac:dyDescent="0.3">
      <c r="A12" s="30">
        <v>44927</v>
      </c>
      <c r="B12" s="15" t="s">
        <v>59</v>
      </c>
      <c r="C12" s="15">
        <v>200</v>
      </c>
    </row>
    <row r="13" spans="1:10" ht="14.4" x14ac:dyDescent="0.3">
      <c r="A13" s="30">
        <v>44928</v>
      </c>
      <c r="B13" s="15" t="s">
        <v>60</v>
      </c>
      <c r="C13" s="15" t="e">
        <v>#N/A</v>
      </c>
    </row>
    <row r="14" spans="1:10" ht="14.4" x14ac:dyDescent="0.3">
      <c r="A14" s="30">
        <v>44929</v>
      </c>
      <c r="B14" s="15" t="s">
        <v>61</v>
      </c>
      <c r="C14" s="15">
        <v>50</v>
      </c>
    </row>
    <row r="15" spans="1:10" ht="14.4" x14ac:dyDescent="0.3">
      <c r="A15" s="30">
        <v>44930</v>
      </c>
      <c r="B15" s="15" t="s">
        <v>62</v>
      </c>
      <c r="C15" s="15" t="e">
        <v>#N/A</v>
      </c>
    </row>
    <row r="16" spans="1:10" ht="14.4" x14ac:dyDescent="0.3">
      <c r="A16" s="30">
        <v>44931</v>
      </c>
      <c r="B16" s="15" t="s">
        <v>63</v>
      </c>
      <c r="C16" s="15">
        <v>10</v>
      </c>
    </row>
    <row r="17" spans="1:3" ht="14.4" x14ac:dyDescent="0.3">
      <c r="A17" s="30">
        <v>44932</v>
      </c>
      <c r="B17" s="15" t="s">
        <v>153</v>
      </c>
      <c r="C17" s="15">
        <v>150</v>
      </c>
    </row>
    <row r="18" spans="1:3" ht="14.4" x14ac:dyDescent="0.3">
      <c r="A18" s="30">
        <v>44933</v>
      </c>
      <c r="B18" s="15" t="s">
        <v>154</v>
      </c>
      <c r="C18" s="15">
        <v>80</v>
      </c>
    </row>
    <row r="19" spans="1:3" ht="14.4" x14ac:dyDescent="0.3">
      <c r="A19" s="30">
        <v>44934</v>
      </c>
      <c r="B19" s="15" t="s">
        <v>155</v>
      </c>
      <c r="C19" s="15" t="e">
        <v>#N/A</v>
      </c>
    </row>
    <row r="20" spans="1:3" ht="14.4" x14ac:dyDescent="0.3">
      <c r="A20" s="30">
        <v>44935</v>
      </c>
      <c r="B20" s="15" t="s">
        <v>156</v>
      </c>
      <c r="C20" s="15">
        <v>30</v>
      </c>
    </row>
    <row r="21" spans="1:3" ht="14.4" x14ac:dyDescent="0.3">
      <c r="A21" s="30">
        <v>44936</v>
      </c>
      <c r="B21" s="15" t="s">
        <v>157</v>
      </c>
      <c r="C21" s="15" t="e">
        <v>#N/A</v>
      </c>
    </row>
    <row r="22" spans="1:3" ht="14.4" x14ac:dyDescent="0.3">
      <c r="B22" s="15" t="s">
        <v>158</v>
      </c>
      <c r="C22" s="23" cm="1">
        <f t="array" ref="C22">SUM(IF(ISNUMBER(C12:C21), 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abSelected="1" zoomScale="85" zoomScaleNormal="85" workbookViewId="0">
      <selection activeCell="M4" sqref="M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174</v>
      </c>
    </row>
    <row r="3" spans="1:14" ht="14.4" x14ac:dyDescent="0.3">
      <c r="B3" s="1" t="s">
        <v>150</v>
      </c>
    </row>
    <row r="4" spans="1:14" ht="18" x14ac:dyDescent="0.35">
      <c r="A4" s="41" t="s">
        <v>53</v>
      </c>
      <c r="B4" s="1"/>
      <c r="C4" s="2" t="s">
        <v>201</v>
      </c>
    </row>
    <row r="5" spans="1:14" ht="18" x14ac:dyDescent="0.35">
      <c r="A5" s="41" t="s">
        <v>152</v>
      </c>
      <c r="B5" s="67" t="s">
        <v>202</v>
      </c>
      <c r="C5" s="68"/>
      <c r="D5" s="68"/>
      <c r="E5" s="68"/>
      <c r="F5" s="68"/>
      <c r="G5" s="68"/>
      <c r="H5" s="68"/>
      <c r="I5" s="68"/>
      <c r="J5" s="68"/>
      <c r="K5" s="68"/>
    </row>
    <row r="6" spans="1:14" ht="15" x14ac:dyDescent="0.3">
      <c r="A6" s="3"/>
      <c r="B6" s="67" t="s">
        <v>203</v>
      </c>
      <c r="C6" s="68"/>
      <c r="D6" s="68"/>
      <c r="E6" s="68"/>
      <c r="F6" s="68"/>
      <c r="G6" s="68"/>
      <c r="H6" s="68"/>
      <c r="I6" s="68"/>
      <c r="J6" s="68"/>
      <c r="K6" s="68"/>
    </row>
    <row r="7" spans="1:14" ht="15" x14ac:dyDescent="0.3">
      <c r="B7" s="67" t="s">
        <v>204</v>
      </c>
      <c r="C7" s="68"/>
      <c r="D7" s="68"/>
      <c r="E7" s="68"/>
      <c r="F7" s="68"/>
      <c r="G7" s="68"/>
      <c r="H7" s="68"/>
      <c r="I7" s="68"/>
      <c r="J7" s="68"/>
      <c r="K7" s="68"/>
    </row>
    <row r="8" spans="1:14" ht="23.4" x14ac:dyDescent="0.45">
      <c r="A8" s="16" t="s">
        <v>161</v>
      </c>
      <c r="M8" s="16" t="s">
        <v>162</v>
      </c>
    </row>
    <row r="9" spans="1:14" ht="14.4" x14ac:dyDescent="0.3">
      <c r="A9" s="46" t="s">
        <v>177</v>
      </c>
      <c r="B9" s="47" t="s">
        <v>89</v>
      </c>
      <c r="C9" s="47" t="s">
        <v>90</v>
      </c>
      <c r="D9" s="47" t="s">
        <v>91</v>
      </c>
      <c r="E9" s="47" t="s">
        <v>92</v>
      </c>
      <c r="F9" s="47" t="s">
        <v>93</v>
      </c>
      <c r="G9" s="47" t="s">
        <v>94</v>
      </c>
      <c r="H9" s="47" t="s">
        <v>95</v>
      </c>
      <c r="I9" s="47" t="s">
        <v>96</v>
      </c>
      <c r="J9" s="48" t="s">
        <v>97</v>
      </c>
      <c r="M9" s="52" t="s">
        <v>43</v>
      </c>
      <c r="N9" s="53" t="s">
        <v>99</v>
      </c>
    </row>
    <row r="10" spans="1:14" ht="14.4" x14ac:dyDescent="0.3">
      <c r="A10" s="45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36">
        <v>525</v>
      </c>
      <c r="M10" s="8">
        <v>10100</v>
      </c>
      <c r="N10" s="7" t="s">
        <v>89</v>
      </c>
    </row>
    <row r="11" spans="1:14" ht="14.4" x14ac:dyDescent="0.3">
      <c r="A11" s="45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36">
        <v>430</v>
      </c>
      <c r="M11" s="8">
        <v>10102</v>
      </c>
      <c r="N11" s="7" t="s">
        <v>90</v>
      </c>
    </row>
    <row r="12" spans="1:14" ht="14.4" x14ac:dyDescent="0.3">
      <c r="A12" s="45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36">
        <v>400</v>
      </c>
      <c r="M12" s="8">
        <v>10104</v>
      </c>
      <c r="N12" s="7" t="s">
        <v>91</v>
      </c>
    </row>
    <row r="13" spans="1:14" ht="14.4" x14ac:dyDescent="0.3">
      <c r="A13" s="45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36">
        <v>340</v>
      </c>
      <c r="M13" s="8">
        <v>10106</v>
      </c>
      <c r="N13" s="7" t="s">
        <v>92</v>
      </c>
    </row>
    <row r="14" spans="1:14" ht="14.4" x14ac:dyDescent="0.3">
      <c r="A14" s="45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36">
        <v>270</v>
      </c>
      <c r="M14" s="8">
        <v>10108</v>
      </c>
      <c r="N14" s="7" t="s">
        <v>93</v>
      </c>
    </row>
    <row r="15" spans="1:14" ht="14.4" x14ac:dyDescent="0.3">
      <c r="A15" s="45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36">
        <v>220</v>
      </c>
      <c r="M15" s="8">
        <v>10110</v>
      </c>
      <c r="N15" s="7" t="s">
        <v>94</v>
      </c>
    </row>
    <row r="16" spans="1:14" ht="14.4" x14ac:dyDescent="0.3">
      <c r="A16" s="45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36">
        <v>105</v>
      </c>
      <c r="M16" s="8">
        <v>10112</v>
      </c>
      <c r="N16" s="7" t="s">
        <v>95</v>
      </c>
    </row>
    <row r="17" spans="1:15" ht="14.4" x14ac:dyDescent="0.3">
      <c r="A17" s="45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36">
        <v>40</v>
      </c>
      <c r="M17" s="8">
        <v>10114</v>
      </c>
      <c r="N17" s="7" t="s">
        <v>96</v>
      </c>
    </row>
    <row r="18" spans="1:15" ht="14.4" x14ac:dyDescent="0.3">
      <c r="A18" s="49" t="s">
        <v>97</v>
      </c>
      <c r="B18" s="50">
        <v>525</v>
      </c>
      <c r="C18" s="50">
        <v>430</v>
      </c>
      <c r="D18" s="50">
        <v>400</v>
      </c>
      <c r="E18" s="50">
        <v>340</v>
      </c>
      <c r="F18" s="50">
        <v>270</v>
      </c>
      <c r="G18" s="50">
        <v>220</v>
      </c>
      <c r="H18" s="50">
        <v>105</v>
      </c>
      <c r="I18" s="50">
        <v>40</v>
      </c>
      <c r="J18" s="51">
        <v>-1</v>
      </c>
      <c r="M18" s="8">
        <v>10116</v>
      </c>
      <c r="N18" s="7" t="s">
        <v>97</v>
      </c>
    </row>
    <row r="21" spans="1:15" ht="23.4" x14ac:dyDescent="0.45">
      <c r="A21" s="16" t="s">
        <v>167</v>
      </c>
      <c r="O21" s="2" t="e">
        <f>INDEX([1]Table_A!$B$2:$J$10, MATCH(A2, [1]Table_A!$A$2:$A$10, 0), MATCH(B2, [1]Table_A!$A$1:$I$1, 0))</f>
        <v>#N/A</v>
      </c>
    </row>
    <row r="22" spans="1:15" ht="14.4" x14ac:dyDescent="0.3">
      <c r="A22" s="54" t="s">
        <v>167</v>
      </c>
      <c r="B22" s="12" t="s">
        <v>100</v>
      </c>
      <c r="C22" s="54" t="s">
        <v>101</v>
      </c>
      <c r="H22" s="2" t="str">
        <f>IFERROR(INDEX($A$9:$J$18, MATCH(A2, $M$9:$N$18, 0), MATCH(B2, $A$22:$B$35, 0)), "")</f>
        <v/>
      </c>
    </row>
    <row r="23" spans="1:15" ht="14.4" x14ac:dyDescent="0.3">
      <c r="A23" s="1">
        <v>10100</v>
      </c>
      <c r="B23" s="11">
        <v>10102</v>
      </c>
      <c r="C23" s="2" t="s">
        <v>201</v>
      </c>
    </row>
    <row r="24" spans="1:15" ht="14.4" x14ac:dyDescent="0.3">
      <c r="A24" s="1">
        <v>10100</v>
      </c>
      <c r="B24" s="11">
        <v>10104</v>
      </c>
      <c r="C24" s="2" t="e">
        <f>INDEX(Table_A_range, MATCH(10100, Table_A_ID_column, 0), MATCH(10102, Table_A_ID_row, 0))</f>
        <v>#NAME?</v>
      </c>
    </row>
    <row r="25" spans="1:15" ht="14.4" x14ac:dyDescent="0.3">
      <c r="A25" s="1">
        <v>10108</v>
      </c>
      <c r="B25" s="11">
        <v>10102</v>
      </c>
      <c r="C25" s="2" t="e">
        <f>INDEX(Table_A_range, MATCH(10100, Table_A_ID_column, 0), MATCH(10102, Table_A_ID_row, 0))</f>
        <v>#NAME?</v>
      </c>
    </row>
    <row r="26" spans="1:15" ht="14.4" x14ac:dyDescent="0.3">
      <c r="A26" s="1">
        <v>10100</v>
      </c>
      <c r="B26" s="11">
        <v>10106</v>
      </c>
      <c r="C26" s="2" t="e">
        <f>INDEX(Table_A_range, MATCH(10100, Table_A_ID_column, 0), MATCH(10102, Table_A_ID_row, 0))</f>
        <v>#NAME?</v>
      </c>
    </row>
    <row r="27" spans="1:15" ht="14.4" x14ac:dyDescent="0.3">
      <c r="A27" s="1">
        <v>10108</v>
      </c>
      <c r="B27" s="11">
        <v>10110</v>
      </c>
      <c r="C27" s="2" t="e">
        <f>INDEX(Table_A_range, MATCH(10100, Table_A_ID_column, 0), MATCH(10102, Table_A_ID_row, 0))</f>
        <v>#NAME?</v>
      </c>
    </row>
    <row r="28" spans="1:15" ht="14.4" x14ac:dyDescent="0.3">
      <c r="A28" s="1">
        <v>10102</v>
      </c>
      <c r="B28" s="11">
        <v>10104</v>
      </c>
      <c r="C28" s="2" t="e">
        <f>INDEX(Table_A_range, MATCH(10100, Table_A_ID_column, 0), MATCH(10102, Table_A_ID_row, 0))</f>
        <v>#NAME?</v>
      </c>
    </row>
    <row r="29" spans="1:15" ht="14.4" x14ac:dyDescent="0.3">
      <c r="A29" s="1">
        <v>10106</v>
      </c>
      <c r="B29" s="11">
        <v>10108</v>
      </c>
      <c r="C29" s="2" t="e">
        <f>INDEX(Table_A_range, MATCH(10100, Table_A_ID_column, 0), MATCH(10102, Table_A_ID_row, 0))</f>
        <v>#NAME?</v>
      </c>
    </row>
    <row r="30" spans="1:15" ht="14.4" x14ac:dyDescent="0.3">
      <c r="A30" s="1">
        <v>10102</v>
      </c>
      <c r="B30" s="11">
        <v>10106</v>
      </c>
      <c r="C30" s="2" t="e">
        <f>INDEX(Table_A_range, MATCH(10100, Table_A_ID_column, 0), MATCH(10102, Table_A_ID_row, 0))</f>
        <v>#NAME?</v>
      </c>
    </row>
    <row r="31" spans="1:15" ht="14.4" x14ac:dyDescent="0.3">
      <c r="A31" s="1">
        <v>10110</v>
      </c>
      <c r="B31" s="11">
        <v>10114</v>
      </c>
      <c r="C31" s="2" t="e">
        <f>INDEX(Table_A_range, MATCH(10100, Table_A_ID_column, 0), MATCH(10102, Table_A_ID_row, 0))</f>
        <v>#NAME?</v>
      </c>
    </row>
    <row r="32" spans="1:15" ht="14.4" x14ac:dyDescent="0.3">
      <c r="A32" s="1">
        <v>10104</v>
      </c>
      <c r="B32" s="11">
        <v>10106</v>
      </c>
      <c r="C32" s="2" t="e">
        <f>INDEX(Table_A_range, MATCH(10100, Table_A_ID_column, 0), MATCH(10102, Table_A_ID_row, 0))</f>
        <v>#NAME?</v>
      </c>
    </row>
    <row r="33" spans="1:3" ht="14.4" x14ac:dyDescent="0.3">
      <c r="A33" s="1">
        <v>10110</v>
      </c>
      <c r="B33" s="11">
        <v>10112</v>
      </c>
      <c r="C33" s="2" t="e">
        <f>INDEX(Table_A_range, MATCH(10100, Table_A_ID_column, 0), MATCH(10102, Table_A_ID_row, 0))</f>
        <v>#NAME?</v>
      </c>
    </row>
    <row r="34" spans="1:3" ht="14.4" x14ac:dyDescent="0.3">
      <c r="A34" s="1">
        <v>10100</v>
      </c>
      <c r="B34" s="11">
        <v>10114</v>
      </c>
      <c r="C34" s="2" t="e">
        <f>INDEX(Table_A_range, MATCH(10100, Table_A_ID_column, 0), MATCH(10102, Table_A_ID_row, 0))</f>
        <v>#NAME?</v>
      </c>
    </row>
    <row r="35" spans="1:3" ht="14.4" x14ac:dyDescent="0.3">
      <c r="A35" s="54">
        <v>10112</v>
      </c>
      <c r="B35" s="12">
        <v>10116</v>
      </c>
      <c r="C35" s="2" t="e">
        <f>INDEX(Table_A_range, MATCH(10100, Table_A_ID_column, 0), MATCH(10102, Table_A_ID_row, 0))</f>
        <v>#NAME?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NIKHIL PANDA</cp:lastModifiedBy>
  <dcterms:created xsi:type="dcterms:W3CDTF">2015-02-10T17:33:11Z</dcterms:created>
  <dcterms:modified xsi:type="dcterms:W3CDTF">2023-12-11T17:11:23Z</dcterms:modified>
</cp:coreProperties>
</file>